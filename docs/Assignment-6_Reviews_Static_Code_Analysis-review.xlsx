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HashiPC\Desktop\"/>
    </mc:Choice>
  </mc:AlternateContent>
  <xr:revisionPtr revIDLastSave="0" documentId="13_ncr:1_{3C68CB01-8F3D-42C7-8B19-05EF64DEC4ED}" xr6:coauthVersionLast="47" xr6:coauthVersionMax="47" xr10:uidLastSave="{00000000-0000-0000-0000-000000000000}"/>
  <bookViews>
    <workbookView xWindow="5130" yWindow="4425" windowWidth="28800" windowHeight="13575" tabRatio="500" activeTab="2" xr2:uid="{00000000-000D-0000-FFFF-FFFF00000000}"/>
  </bookViews>
  <sheets>
    <sheet name="README" sheetId="1" r:id="rId1"/>
    <sheet name="MP" sheetId="2" r:id="rId2"/>
    <sheet name="LoF" sheetId="3" r:id="rId3"/>
    <sheet name="RR" sheetId="4" r:id="rId4"/>
    <sheet name="Maintenance" sheetId="5" state="hidden" r:id="rId5"/>
  </sheets>
  <definedNames>
    <definedName name="_xlnm._FilterDatabase" localSheetId="2" hidden="1">LoF!$A$3:$J$103</definedName>
    <definedName name="_xlnm._FilterDatabase" localSheetId="4" hidden="1">Maintenance!$A$2:$J$183</definedName>
    <definedName name="Document_abbreviations">MP!$C$10:$C$16</definedName>
    <definedName name="_xlnm.Print_Area" localSheetId="1">MP!$A$1:$C$41</definedName>
    <definedName name="_xlnm.Print_Area" localSheetId="0">README!$A$1:$D$66</definedName>
    <definedName name="_xlnm.Print_Area" localSheetId="3">RR!$A$1:$B$26</definedName>
    <definedName name="Optimum_Checking_Time">MP!$B$37</definedName>
    <definedName name="Reviewer_abbreviations">MP!$C$21:$C$28</definedName>
    <definedName name="Size_of_Review_Object">MP!$B$35</definedName>
    <definedName name="Size_Unit">MP!$C$35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4" i="4" l="1"/>
  <c r="B23" i="4"/>
  <c r="B22" i="4"/>
  <c r="B21" i="4"/>
  <c r="B20" i="4"/>
  <c r="B19" i="4"/>
  <c r="B18" i="4"/>
  <c r="B17" i="4"/>
  <c r="B16" i="4"/>
  <c r="B15" i="4"/>
  <c r="B9" i="4"/>
  <c r="B8" i="4"/>
  <c r="B7" i="4"/>
  <c r="B5" i="4"/>
  <c r="B4" i="4"/>
  <c r="C37" i="2"/>
  <c r="B37" i="2"/>
  <c r="C36" i="2"/>
  <c r="A50" i="1"/>
  <c r="A4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9" authorId="0" shapeId="0" xr:uid="{00000000-0006-0000-0000-000001000000}">
      <text>
        <r>
          <rPr>
            <sz val="10"/>
            <rFont val="Arial"/>
            <charset val="1"/>
          </rPr>
          <t xml:space="preserve">Detailed description of the review process and the template: “Reviews in System and Software Development – Fundamentals, Practice, Continuous Improvement”; Rösler, Schlich, Kneuper; August 2013.
</t>
        </r>
      </text>
    </comment>
    <comment ref="A43" authorId="0" shapeId="0" xr:uid="{00000000-0006-0000-0000-000002000000}">
      <text>
        <r>
          <rPr>
            <sz val="10"/>
            <rFont val="Arial"/>
            <charset val="1"/>
          </rPr>
          <t>np:       net pages / Nettoseiten.
            1 np = 300 "non-commentary" Wörter,
            1 np = 1 Seite mit Diagrammen
pp:       print pages / Gedruckte Seiten
NLOC:  non-commentary lines of code / Codezeilen ohne 
           Kommentare
LOC:    lines of code / Codezeilen</t>
        </r>
      </text>
    </comment>
    <comment ref="A48" authorId="0" shapeId="0" xr:uid="{00000000-0006-0000-0000-000003000000}">
      <text>
        <r>
          <rPr>
            <sz val="10"/>
            <rFont val="Arial"/>
            <charset val="1"/>
          </rPr>
          <t>Hinweise zur Wartung und zu Excel (Version 2010)
Um die Kommentare der Felder zu lesen, bitte möglichst nicht die Bilder anklicken, sondern nur den Mauszeiger in das Feld bewegen.</t>
        </r>
      </text>
    </comment>
    <comment ref="B49" authorId="0" shapeId="0" xr:uid="{00000000-0006-0000-0000-000005000000}">
      <text>
        <r>
          <rPr>
            <sz val="10"/>
            <rFont val="Arial"/>
            <charset val="1"/>
          </rPr>
          <t xml:space="preserve">Das versteckte Blatt "Maintenance" wird für die Planung und Dokumentation von Änderungen an der Vorlage verwendet.
Mit einem Klick auf einen Tabellenblatt-Namen und </t>
        </r>
        <r>
          <rPr>
            <i/>
            <sz val="8"/>
            <color rgb="FF000000"/>
            <rFont val="Tahoma"/>
            <family val="2"/>
            <charset val="1"/>
          </rPr>
          <t>Einblenden...</t>
        </r>
        <r>
          <rPr>
            <sz val="8"/>
            <color rgb="FF000000"/>
            <rFont val="Tahoma"/>
            <family val="2"/>
            <charset val="1"/>
          </rPr>
          <t xml:space="preserve"> kann es sichtbar gemacht werden.
</t>
        </r>
      </text>
    </comment>
    <comment ref="A50" authorId="0" shapeId="0" xr:uid="{00000000-0006-0000-0000-000004000000}">
      <text>
        <r>
          <rPr>
            <sz val="10"/>
            <rFont val="Arial"/>
            <charset val="1"/>
          </rPr>
          <t xml:space="preserve">Manche Formeln verwenden Namen wie "Size_of_Review_Object".
Mit </t>
        </r>
        <r>
          <rPr>
            <i/>
            <sz val="8"/>
            <color rgb="FF000000"/>
            <rFont val="Tahoma"/>
            <family val="2"/>
            <charset val="1"/>
          </rPr>
          <t>Formeln - Namens-Manager</t>
        </r>
        <r>
          <rPr>
            <sz val="8"/>
            <color rgb="FF000000"/>
            <rFont val="Tahoma"/>
            <family val="2"/>
            <charset val="1"/>
          </rPr>
          <t xml:space="preserve"> kann man herausfinden, in welchen Feldern die Namen definiert sind.
Der Name "Reviewer_abbreviations" ist absichtlich nur auf die ersten 8 Reviewer definiert, damit der Benutzer in Spalte "Input von" (in Blatt "LoF") in der Auswahlliste nicht ständig nach oben scrollen muss.</t>
        </r>
      </text>
    </comment>
    <comment ref="B50" authorId="0" shapeId="0" xr:uid="{00000000-0006-0000-0000-000006000000}">
      <text>
        <r>
          <rPr>
            <sz val="10"/>
            <rFont val="Arial"/>
            <charset val="1"/>
          </rPr>
          <t xml:space="preserve">Felder einfärben abhängig vom Inhalt mit </t>
        </r>
        <r>
          <rPr>
            <i/>
            <sz val="8"/>
            <color rgb="FF000000"/>
            <rFont val="Tahoma"/>
            <family val="2"/>
            <charset val="1"/>
          </rPr>
          <t xml:space="preserve">Bedingte Formatierung
</t>
        </r>
      </text>
    </comment>
    <comment ref="C50" authorId="0" shapeId="0" xr:uid="{00000000-0006-0000-0000-000008000000}">
      <text>
        <r>
          <rPr>
            <sz val="10"/>
            <rFont val="Arial"/>
            <charset val="1"/>
          </rPr>
          <t>Designentscheidung (2011-12-13 P. Rösler):
Diese Vorlage nutzt keine Makros, um die Verständlichkeit für die Nutzer zu erleichtern.
Hinweis: Einige der "Einschränkungen und bekannte Probleme" können nur über Makros gelöst werden.</t>
        </r>
      </text>
    </comment>
    <comment ref="D50" authorId="0" shapeId="0" xr:uid="{00000000-0006-0000-0000-00000A000000}">
      <text>
        <r>
          <rPr>
            <sz val="10"/>
            <rFont val="Arial"/>
            <charset val="1"/>
          </rPr>
          <t xml:space="preserve">Automatische Filterung mit </t>
        </r>
        <r>
          <rPr>
            <i/>
            <sz val="8"/>
            <color rgb="FF000000"/>
            <rFont val="Tahoma"/>
            <family val="2"/>
            <charset val="1"/>
          </rPr>
          <t>Daten - Filter</t>
        </r>
        <r>
          <rPr>
            <sz val="8"/>
            <color rgb="FF000000"/>
            <rFont val="Tahoma"/>
            <family val="2"/>
            <charset val="1"/>
          </rPr>
          <t xml:space="preserve"> ein-/ausschalten
</t>
        </r>
      </text>
    </comment>
    <comment ref="B51" authorId="0" shapeId="0" xr:uid="{00000000-0006-0000-0000-000007000000}">
      <text>
        <r>
          <rPr>
            <sz val="10"/>
            <rFont val="Arial"/>
            <charset val="1"/>
          </rPr>
          <t>Auswahlfelder werden so definiert:
Menü Daten -&gt; Gültigkeit
Im Reiter "Fehlermeldung" kann konfiguriert werden, ob nur die Werte aus der Auswahlliste oder auch abweichende manuelle Einträge erlaubt sind. "Leere Zellen ignorieren" muss dazu ggf. deaktiviert werden.</t>
        </r>
      </text>
    </comment>
    <comment ref="C51" authorId="0" shapeId="0" xr:uid="{00000000-0006-0000-0000-000009000000}">
      <text>
        <r>
          <rPr>
            <sz val="10"/>
            <rFont val="Arial"/>
            <charset val="1"/>
          </rPr>
          <t xml:space="preserve">Graue Gitternetzlinien über Seitenlayout - Gitternetzlinien ein-/ausschalten
</t>
        </r>
      </text>
    </comment>
    <comment ref="D51" authorId="0" shapeId="0" xr:uid="{00000000-0006-0000-0000-00000B000000}">
      <text>
        <r>
          <rPr>
            <sz val="10"/>
            <rFont val="Arial"/>
            <charset val="1"/>
          </rPr>
          <t>3 Standardfarben von Excel wurden wie folgt geändert:
Dunkelgelb auf 201, 201, 201 (für Rahmen)
Gelbgrün   auf 222, 235, 205 (für Überschriftsfelder)
Helltürkis   auf 213, 245, 251 (für berechnete Felder)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100-000001000000}">
      <text>
        <r>
          <rPr>
            <sz val="10"/>
            <rFont val="Arial"/>
            <charset val="1"/>
          </rPr>
          <t>Normally not to be filled out by the moderator, but usually by the quality manager, once the key metrics (Data Summary) have been imported into the review database.</t>
        </r>
      </text>
    </comment>
    <comment ref="A9" authorId="0" shapeId="0" xr:uid="{00000000-0006-0000-0100-000002000000}">
      <text>
        <r>
          <rPr>
            <sz val="10"/>
            <rFont val="Arial"/>
            <charset val="1"/>
          </rPr>
          <t>If necessary, fill in additional rows.</t>
        </r>
      </text>
    </comment>
    <comment ref="C9" authorId="0" shapeId="0" xr:uid="{00000000-0006-0000-0100-000008000000}">
      <text>
        <r>
          <rPr>
            <sz val="10"/>
            <rFont val="Arial"/>
            <charset val="1"/>
          </rPr>
          <t>Abbreviations reduce the typing inputs in the LoF.</t>
        </r>
      </text>
    </comment>
    <comment ref="A13" authorId="0" shapeId="0" xr:uid="{00000000-0006-0000-0100-000003000000}">
      <text>
        <r>
          <rPr>
            <sz val="10"/>
            <rFont val="Arial"/>
            <charset val="1"/>
          </rPr>
          <t xml:space="preserve">Reference documents are the documents with which the review object must be consistent.
</t>
        </r>
        <r>
          <rPr>
            <sz val="8"/>
            <color rgb="FF000000"/>
            <rFont val="Arial"/>
            <family val="2"/>
            <charset val="1"/>
          </rPr>
          <t>If necessary, add additional rows.</t>
        </r>
      </text>
    </comment>
    <comment ref="A17" authorId="0" shapeId="0" xr:uid="{00000000-0006-0000-0100-000004000000}">
      <text>
        <r>
          <rPr>
            <sz val="10"/>
            <rFont val="Arial"/>
            <charset val="1"/>
          </rPr>
          <t xml:space="preserve">Checklists and scenarios are support documents that help reviewers discover more findings.
</t>
        </r>
        <r>
          <rPr>
            <sz val="8"/>
            <color rgb="FF000000"/>
            <rFont val="Arial"/>
            <family val="2"/>
            <charset val="1"/>
          </rPr>
          <t xml:space="preserve">
If necessary, add additional rows.</t>
        </r>
      </text>
    </comment>
    <comment ref="C20" authorId="0" shapeId="0" xr:uid="{00000000-0006-0000-0100-000009000000}">
      <text>
        <r>
          <rPr>
            <sz val="10"/>
            <rFont val="Arial"/>
            <charset val="1"/>
          </rPr>
          <t xml:space="preserve">Initials are used in the “List of Findings” (LoF) under the column “Found by.”
</t>
        </r>
        <r>
          <rPr>
            <sz val="8"/>
            <color rgb="FF000000"/>
            <rFont val="Arial"/>
            <family val="2"/>
            <charset val="1"/>
          </rPr>
          <t xml:space="preserve">
It is possible, but not required, to use the initials from, for example, the phone directory.</t>
        </r>
      </text>
    </comment>
    <comment ref="C33" authorId="0" shapeId="0" xr:uid="{00000000-0006-0000-0100-00000A000000}">
      <text>
        <r>
          <rPr>
            <sz val="10"/>
            <rFont val="Arial"/>
            <charset val="1"/>
          </rPr>
          <t xml:space="preserve">np:       net pages. 1 np = 300 "non-commentary" words,
</t>
        </r>
        <r>
          <rPr>
            <sz val="8"/>
            <color rgb="FF000000"/>
            <rFont val="Tahoma"/>
            <family val="2"/>
            <charset val="1"/>
          </rPr>
          <t xml:space="preserve">            1 np = 1 page of diagrams
pp:       print pages
NLOC:  non-commentary lines of code
LOC:    lines of code</t>
        </r>
      </text>
    </comment>
    <comment ref="A35" authorId="0" shapeId="0" xr:uid="{00000000-0006-0000-0100-000005000000}">
      <text>
        <r>
          <rPr>
            <sz val="10"/>
            <rFont val="Arial"/>
            <charset val="1"/>
          </rPr>
          <t xml:space="preserve">Number of pages or lines to be reviewed (may differ from the total size of the review objects).
</t>
        </r>
      </text>
    </comment>
    <comment ref="A36" authorId="0" shapeId="0" xr:uid="{00000000-0006-0000-0100-000006000000}">
      <text>
        <r>
          <rPr>
            <sz val="10"/>
            <rFont val="Arial"/>
            <charset val="1"/>
          </rPr>
          <t xml:space="preserve">The optimal inspection rate indicates how many pages or lines of code a typical reviewer can review in an hour.
</t>
        </r>
        <r>
          <rPr>
            <sz val="8"/>
            <color rgb="FF000000"/>
            <rFont val="Arial"/>
            <family val="2"/>
            <charset val="1"/>
          </rPr>
          <t xml:space="preserve">
Benchmark data for code: 100-150 NLOC/h
Benchmark data for text documents:
• 1 to a maximum of 2 np/h (Gilb &amp; Graham 1993)
• 2 to 3 pp/h for architecture and requirements documents (IEEE Std 1028-2008)
(These data contradict intuition, as developers would typically assume 5 to 10 pages per hour.)</t>
        </r>
      </text>
    </comment>
    <comment ref="A37" authorId="0" shapeId="0" xr:uid="{00000000-0006-0000-0100-000007000000}">
      <text>
        <r>
          <rPr>
            <sz val="10"/>
            <rFont val="Arial"/>
            <charset val="1"/>
          </rPr>
          <t>Optimal inspection time for a typical reviewer.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200-000001000000}">
      <text>
        <r>
          <rPr>
            <sz val="10"/>
            <rFont val="Arial"/>
            <charset val="1"/>
          </rPr>
          <t>It is filled out by the reviewers during individual preparation.</t>
        </r>
      </text>
    </comment>
    <comment ref="H2" authorId="0" shapeId="0" xr:uid="{00000000-0006-0000-0200-000007000000}">
      <text>
        <r>
          <rPr>
            <sz val="10"/>
            <rFont val="Arial"/>
            <charset val="1"/>
          </rPr>
          <t>It is filled out during the review meeting, rework, and follow-up.</t>
        </r>
      </text>
    </comment>
    <comment ref="B3" authorId="0" shapeId="0" xr:uid="{00000000-0006-0000-0200-000002000000}">
      <text>
        <r>
          <rPr>
            <sz val="10"/>
            <rFont val="Arial"/>
            <charset val="1"/>
          </rPr>
          <t>Please use the abbreviations for the review objects according to the Master Plan (Sheet MP).</t>
        </r>
      </text>
    </comment>
    <comment ref="C3" authorId="0" shapeId="0" xr:uid="{00000000-0006-0000-0200-000003000000}">
      <text>
        <r>
          <rPr>
            <sz val="10"/>
            <rFont val="Arial"/>
            <charset val="1"/>
          </rPr>
          <t xml:space="preserve">The moderator can specify how a finding location should be indicated.
</t>
        </r>
        <r>
          <rPr>
            <sz val="8"/>
            <color rgb="FF000000"/>
            <rFont val="Arial"/>
            <family val="2"/>
            <charset val="1"/>
          </rPr>
          <t>For example: 023-026 if the finding relates to lines 23 to 26; p41 for page 41; 4.1.2 for chapter 4.1.2.
If the finding occurs multiple times in the review object (and specifying all locations is too time-consuming), the terms “etc.” and “ff.” can be used. Example: 023 ff.</t>
        </r>
      </text>
    </comment>
    <comment ref="E3" authorId="0" shapeId="0" xr:uid="{00000000-0006-0000-0200-000004000000}">
      <text>
        <r>
          <rPr>
            <sz val="10"/>
            <rFont val="Arial"/>
            <charset val="1"/>
          </rPr>
          <t>If the finding was discovered using a checklist or scenario, please provide the reference to the checklist question or the scenario.</t>
        </r>
      </text>
    </comment>
    <comment ref="F3" authorId="0" shapeId="0" xr:uid="{00000000-0006-0000-0200-000005000000}">
      <text>
        <r>
          <rPr>
            <sz val="10"/>
            <rFont val="Arial"/>
            <charset val="1"/>
          </rPr>
          <t xml:space="preserve">Please provide the reviewer’s initials (see Master Plan).
</t>
        </r>
        <r>
          <rPr>
            <sz val="8"/>
            <color rgb="FF000000"/>
            <rFont val="Arial"/>
            <family val="2"/>
            <charset val="1"/>
          </rPr>
          <t>If the finding was discovered during the review meeting, please enter “all.”</t>
        </r>
      </text>
    </comment>
    <comment ref="G3" authorId="0" shapeId="0" xr:uid="{00000000-0006-0000-0200-000006000000}">
      <text>
        <r>
          <rPr>
            <sz val="10"/>
            <rFont val="Arial"/>
            <charset val="1"/>
          </rPr>
          <t>Major:</t>
        </r>
        <r>
          <rPr>
            <sz val="8"/>
            <color rgb="FF000000"/>
            <rFont val="Arial"/>
            <family val="2"/>
            <charset val="1"/>
          </rPr>
          <t xml:space="preserve"> Error that may cause significantly higher costs if found later in the development process.
</t>
        </r>
        <r>
          <rPr>
            <b/>
            <sz val="8"/>
            <color rgb="FF000000"/>
            <rFont val="Arial"/>
            <family val="2"/>
            <charset val="1"/>
          </rPr>
          <t>Minor:</t>
        </r>
        <r>
          <rPr>
            <sz val="8"/>
            <color rgb="FF000000"/>
            <rFont val="Arial"/>
            <family val="2"/>
            <charset val="1"/>
          </rPr>
          <t xml:space="preserve"> Error that is not classified as “Major.”
</t>
        </r>
        <r>
          <rPr>
            <b/>
            <sz val="8"/>
            <color rgb="FF000000"/>
            <rFont val="Arial"/>
            <family val="2"/>
            <charset val="1"/>
          </rPr>
          <t>?:</t>
        </r>
        <r>
          <rPr>
            <sz val="8"/>
            <color rgb="FF000000"/>
            <rFont val="Arial"/>
            <family val="2"/>
            <charset val="1"/>
          </rPr>
          <t xml:space="preserve"> Question or the reviewer is very uncertain whether the finding is an error or a false alarm.
</t>
        </r>
        <r>
          <rPr>
            <b/>
            <sz val="8"/>
            <color rgb="FF000000"/>
            <rFont val="Arial"/>
            <family val="2"/>
            <charset val="1"/>
          </rPr>
          <t>Note:</t>
        </r>
        <r>
          <rPr>
            <sz val="8"/>
            <color rgb="FF000000"/>
            <rFont val="Arial"/>
            <family val="2"/>
            <charset val="1"/>
          </rPr>
          <t xml:space="preserve"> Comment that does not require action from the author.
</t>
        </r>
        <r>
          <rPr>
            <b/>
            <sz val="8"/>
            <color rgb="FF000000"/>
            <rFont val="Arial"/>
            <family val="2"/>
            <charset val="1"/>
          </rPr>
          <t>-:</t>
        </r>
        <r>
          <rPr>
            <sz val="8"/>
            <color rgb="FF000000"/>
            <rFont val="Arial"/>
            <family val="2"/>
            <charset val="1"/>
          </rPr>
          <t xml:space="preserve"> Used when “Major,” “Minor,” “?” and “Note” do not apply (e.g., process improvement suggestion).</t>
        </r>
      </text>
    </comment>
    <comment ref="H3" authorId="0" shapeId="0" xr:uid="{00000000-0006-0000-0200-000008000000}">
      <text>
        <r>
          <rPr>
            <sz val="10"/>
            <rFont val="Arial"/>
            <charset val="1"/>
          </rPr>
          <t xml:space="preserve">Comment from the review meeting / To Do / Author’s note (solution approach / reason for rejection / etc.)
</t>
        </r>
        <r>
          <rPr>
            <sz val="8"/>
            <color rgb="FF000000"/>
            <rFont val="Arial"/>
            <family val="2"/>
            <charset val="1"/>
          </rPr>
          <t>This field is only filled if necessary.</t>
        </r>
      </text>
    </comment>
    <comment ref="I3" authorId="0" shapeId="0" xr:uid="{00000000-0006-0000-0200-000009000000}">
      <text>
        <r>
          <rPr>
            <sz val="10"/>
            <rFont val="Arial"/>
            <charset val="1"/>
          </rPr>
          <t>Open:</t>
        </r>
        <r>
          <rPr>
            <sz val="8"/>
            <color rgb="FF000000"/>
            <rFont val="Arial"/>
            <family val="2"/>
            <charset val="1"/>
          </rPr>
          <t xml:space="preserve"> The finding is valid, and the author will address it.
</t>
        </r>
        <r>
          <rPr>
            <b/>
            <sz val="8"/>
            <color rgb="FF000000"/>
            <rFont val="Arial"/>
            <family val="2"/>
            <charset val="1"/>
          </rPr>
          <t>Resolved:</t>
        </r>
        <r>
          <rPr>
            <sz val="8"/>
            <color rgb="FF000000"/>
            <rFont val="Arial"/>
            <family val="2"/>
            <charset val="1"/>
          </rPr>
          <t xml:space="preserve"> The finding is resolved (or no action was needed).
</t>
        </r>
        <r>
          <rPr>
            <b/>
            <sz val="8"/>
            <color rgb="FF000000"/>
            <rFont val="Arial"/>
            <family val="2"/>
            <charset val="1"/>
          </rPr>
          <t>Rejected:</t>
        </r>
        <r>
          <rPr>
            <sz val="8"/>
            <color rgb="FF000000"/>
            <rFont val="Arial"/>
            <family val="2"/>
            <charset val="1"/>
          </rPr>
          <t xml:space="preserve"> The finding is rejected (false alarm or for other reasons).
</t>
        </r>
        <r>
          <rPr>
            <b/>
            <sz val="8"/>
            <color rgb="FF000000"/>
            <rFont val="Arial"/>
            <family val="2"/>
            <charset val="1"/>
          </rPr>
          <t>Deferred:</t>
        </r>
        <r>
          <rPr>
            <sz val="8"/>
            <color rgb="FF000000"/>
            <rFont val="Arial"/>
            <family val="2"/>
            <charset val="1"/>
          </rPr>
          <t xml:space="preserve"> The finding is valid but deferred (and monitored on a different list).
</t>
        </r>
        <r>
          <rPr>
            <b/>
            <sz val="8"/>
            <color rgb="FF000000"/>
            <rFont val="Arial"/>
            <family val="2"/>
            <charset val="1"/>
          </rPr>
          <t>Duplicate:</t>
        </r>
        <r>
          <rPr>
            <sz val="8"/>
            <color rgb="FF000000"/>
            <rFont val="Arial"/>
            <family val="2"/>
            <charset val="1"/>
          </rPr>
          <t xml:space="preserve"> The finding is the same as another finding.
      </t>
        </r>
        <r>
          <rPr>
            <i/>
            <sz val="8"/>
            <color rgb="FF000000"/>
            <rFont val="Arial"/>
            <family val="2"/>
            <charset val="1"/>
          </rPr>
          <t xml:space="preserve">(This other finding is not marked as “Duplicate.”)
</t>
        </r>
        <r>
          <rPr>
            <sz val="8"/>
            <color rgb="FF000000"/>
            <rFont val="Arial"/>
            <family val="2"/>
            <charset val="1"/>
          </rPr>
          <t xml:space="preserve">
</t>
        </r>
        <r>
          <rPr>
            <b/>
            <sz val="8"/>
            <color rgb="FF000000"/>
            <rFont val="Arial"/>
            <family val="2"/>
            <charset val="1"/>
          </rPr>
          <t>Note:</t>
        </r>
        <r>
          <rPr>
            <sz val="8"/>
            <color rgb="FF000000"/>
            <rFont val="Arial"/>
            <family val="2"/>
            <charset val="1"/>
          </rPr>
          <t xml:space="preserve"> Exit criterion for rework: no findings with status “Open.”</t>
        </r>
      </text>
    </comment>
    <comment ref="J3" authorId="0" shapeId="0" xr:uid="{00000000-0006-0000-0200-00000A000000}">
      <text>
        <r>
          <rPr>
            <sz val="10"/>
            <rFont val="Arial"/>
            <charset val="1"/>
          </rPr>
          <t xml:space="preserve">Column for free use (please adapt it to your needs). Examples of use cases:
</t>
        </r>
        <r>
          <rPr>
            <sz val="8"/>
            <color rgb="FF000000"/>
            <rFont val="Arial"/>
            <family val="2"/>
            <charset val="1"/>
          </rPr>
          <t>• During the preparation of the review meeting, the author can mark findings with “Meeting” that require an explanation or need to be discussed.
• In the follow-up, a reviewer can mark findings with “Discuss again” if they disagree with the author’s solution.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2" authorId="0" shapeId="0" xr:uid="{00000000-0006-0000-0300-000001000000}">
      <text>
        <r>
          <rPr>
            <sz val="10"/>
            <rFont val="Arial"/>
            <charset val="1"/>
          </rPr>
          <t xml:space="preserve">Select name of the export to support in the revision.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400-000001000000}">
      <text>
        <r>
          <rPr>
            <sz val="10"/>
            <rFont val="Arial"/>
            <charset val="1"/>
          </rPr>
          <t>In diesem Blatt können geplante Änderungen des Templates vorgemerkt und verfolgt werden.</t>
        </r>
      </text>
    </comment>
    <comment ref="B2" authorId="0" shapeId="0" xr:uid="{00000000-0006-0000-0400-000002000000}">
      <text>
        <r>
          <rPr>
            <sz val="10"/>
            <rFont val="Arial"/>
            <charset val="1"/>
          </rPr>
          <t xml:space="preserve">Please use the abbreviations for the review objects.
</t>
        </r>
      </text>
    </comment>
    <comment ref="C2" authorId="0" shapeId="0" xr:uid="{00000000-0006-0000-0400-000003000000}">
      <text>
        <r>
          <rPr>
            <sz val="10"/>
            <rFont val="Arial"/>
            <charset val="1"/>
          </rPr>
          <t xml:space="preserve">The moderator may determine, how the location of a finding has to be specified.
E.g. </t>
        </r>
        <r>
          <rPr>
            <b/>
            <sz val="8"/>
            <color rgb="FF000000"/>
            <rFont val="Tahoma"/>
            <family val="2"/>
            <charset val="1"/>
          </rPr>
          <t>023-026</t>
        </r>
        <r>
          <rPr>
            <sz val="8"/>
            <color rgb="FF000000"/>
            <rFont val="Tahoma"/>
            <family val="2"/>
            <charset val="1"/>
          </rPr>
          <t xml:space="preserve"> if the finding refers to lines 23 to 26; </t>
        </r>
        <r>
          <rPr>
            <b/>
            <sz val="8"/>
            <color rgb="FF000000"/>
            <rFont val="Tahoma"/>
            <family val="2"/>
            <charset val="1"/>
          </rPr>
          <t>p41</t>
        </r>
        <r>
          <rPr>
            <sz val="8"/>
            <color rgb="FF000000"/>
            <rFont val="Tahoma"/>
            <family val="2"/>
            <charset val="1"/>
          </rPr>
          <t xml:space="preserve"> for page 41; </t>
        </r>
        <r>
          <rPr>
            <b/>
            <sz val="8"/>
            <color rgb="FF000000"/>
            <rFont val="Tahoma"/>
            <family val="2"/>
            <charset val="1"/>
          </rPr>
          <t>4.1.2</t>
        </r>
        <r>
          <rPr>
            <sz val="8"/>
            <color rgb="FF000000"/>
            <rFont val="Tahoma"/>
            <family val="2"/>
            <charset val="1"/>
          </rPr>
          <t xml:space="preserve"> for chapter 4.1.2 
If the finding occurs more than once in the review object (and it is too time-consuming to specify all locations), the wording "etc." or "ff." can be used.
E.g. </t>
        </r>
        <r>
          <rPr>
            <b/>
            <sz val="8"/>
            <color rgb="FF000000"/>
            <rFont val="Tahoma"/>
            <family val="2"/>
            <charset val="1"/>
          </rPr>
          <t>023 etc.</t>
        </r>
      </text>
    </comment>
    <comment ref="E2" authorId="0" shapeId="0" xr:uid="{00000000-0006-0000-0400-000004000000}">
      <text>
        <r>
          <rPr>
            <sz val="10"/>
            <rFont val="Arial"/>
            <charset val="1"/>
          </rPr>
          <t xml:space="preserve">If the finding was discovered via a checklist question or a scenario, please fill in the identification of this checklist question or scenario. </t>
        </r>
      </text>
    </comment>
    <comment ref="F2" authorId="0" shapeId="0" xr:uid="{00000000-0006-0000-0400-000005000000}">
      <text>
        <r>
          <rPr>
            <sz val="10"/>
            <rFont val="Arial"/>
            <charset val="1"/>
          </rPr>
          <t>Please use the abbreviations for the reviewer names.
If the finding was discovered in the review meeting, please enter "all".</t>
        </r>
      </text>
    </comment>
    <comment ref="G2" authorId="0" shapeId="0" xr:uid="{00000000-0006-0000-0400-000006000000}">
      <text>
        <r>
          <rPr>
            <sz val="10"/>
            <rFont val="Arial"/>
            <charset val="1"/>
          </rPr>
          <t xml:space="preserve">Major:   Defect, which possibly causes substantially higher costs,
             if it is found later in the development process.
minor:   Defect, which is not classified as a Major.
?:          Question or the reviewer is very unsure whether the
             finding is a defect or a false alarm.
note:    Reviewer note which needs no author action.
-:          Used if </t>
        </r>
        <r>
          <rPr>
            <i/>
            <sz val="8"/>
            <color rgb="FF000000"/>
            <rFont val="Tahoma"/>
            <family val="2"/>
            <charset val="1"/>
          </rPr>
          <t xml:space="preserve">Major, minor, ? </t>
        </r>
        <r>
          <rPr>
            <sz val="8"/>
            <color rgb="FF000000"/>
            <rFont val="Tahoma"/>
            <family val="2"/>
            <charset val="1"/>
          </rPr>
          <t>and</t>
        </r>
        <r>
          <rPr>
            <i/>
            <sz val="8"/>
            <color rgb="FF000000"/>
            <rFont val="Tahoma"/>
            <family val="2"/>
            <charset val="1"/>
          </rPr>
          <t xml:space="preserve"> note</t>
        </r>
        <r>
          <rPr>
            <sz val="8"/>
            <color rgb="FF000000"/>
            <rFont val="Tahoma"/>
            <family val="2"/>
            <charset val="1"/>
          </rPr>
          <t xml:space="preserve"> are not appropriate
             (e.g. process improvement)</t>
        </r>
      </text>
    </comment>
    <comment ref="H2" authorId="0" shapeId="0" xr:uid="{00000000-0006-0000-0400-000007000000}">
      <text>
        <r>
          <rPr>
            <sz val="10"/>
            <rFont val="Arial"/>
            <charset val="1"/>
          </rPr>
          <t>Meeting Comment / Action Item / Author Note (Resolution / Reason for Rejection, etc.)
Field only filled if necessary</t>
        </r>
      </text>
    </comment>
    <comment ref="I2" authorId="0" shapeId="0" xr:uid="{00000000-0006-0000-0400-000008000000}">
      <text>
        <r>
          <rPr>
            <sz val="10"/>
            <rFont val="Arial"/>
            <charset val="1"/>
          </rPr>
          <t xml:space="preserve">Open:          The finding is valid and the author will deal with it in rework.
Solved:        The finding was solved (or no action was necessary).
Rejected:    The finding is rejected (false alarm).
Postponed:  The finding is valid but is postponed (and monitored in another list).
Duplicate:    The finding is the same as another finding.
                    (This other finding is not marked as "Duplicate".)
Note: exit criterion for rework: no "open" findings
</t>
        </r>
      </text>
    </comment>
    <comment ref="J2" authorId="0" shapeId="0" xr:uid="{00000000-0006-0000-0400-000009000000}">
      <text>
        <r>
          <rPr>
            <sz val="10"/>
            <rFont val="Arial"/>
            <charset val="1"/>
          </rPr>
          <t xml:space="preserve">Column for free use (please adjust the column for your special needs). Examples for use cases:
- In preparation for the review meeting, the author can mark those findings with "Meeting", for which he/she needs a clarification or discussion. 
</t>
        </r>
        <r>
          <rPr>
            <sz val="8"/>
            <color rgb="FF000000"/>
            <rFont val="Tahoma"/>
            <family val="2"/>
            <charset val="1"/>
          </rPr>
          <t>- In Follow-Up a reviewer can mark a finding with "t.b. re-discussed", if he/she does not agree with the author's solution.</t>
        </r>
      </text>
    </comment>
    <comment ref="L135" authorId="0" shapeId="0" xr:uid="{00000000-0006-0000-0400-00000A000000}">
      <text>
        <r>
          <rPr>
            <sz val="10"/>
            <rFont val="Arial"/>
            <charset val="1"/>
          </rPr>
          <t xml:space="preserve">Major:   Defect, which possibly causes substantially higher costs,
             if it is found later in the development process.
minor:   Defect, which is not classified as a Major.
?:          Question or the reviewer is very unsure whether the
             finding is a defect or a false alarm.
note:    Reviewer note which needs no author action.
-:          Used if </t>
        </r>
        <r>
          <rPr>
            <i/>
            <sz val="8"/>
            <color rgb="FF000000"/>
            <rFont val="Tahoma"/>
            <family val="2"/>
            <charset val="1"/>
          </rPr>
          <t xml:space="preserve">Major, minor, ? </t>
        </r>
        <r>
          <rPr>
            <sz val="8"/>
            <color rgb="FF000000"/>
            <rFont val="Tahoma"/>
            <family val="2"/>
            <charset val="1"/>
          </rPr>
          <t>and</t>
        </r>
        <r>
          <rPr>
            <i/>
            <sz val="8"/>
            <color rgb="FF000000"/>
            <rFont val="Tahoma"/>
            <family val="2"/>
            <charset val="1"/>
          </rPr>
          <t xml:space="preserve"> note</t>
        </r>
        <r>
          <rPr>
            <sz val="8"/>
            <color rgb="FF000000"/>
            <rFont val="Tahoma"/>
            <family val="2"/>
            <charset val="1"/>
          </rPr>
          <t xml:space="preserve"> are not appropriate
             (e.g. process improvement)</t>
        </r>
      </text>
    </comment>
  </commentList>
</comments>
</file>

<file path=xl/sharedStrings.xml><?xml version="1.0" encoding="utf-8"?>
<sst xmlns="http://schemas.openxmlformats.org/spreadsheetml/2006/main" count="1811" uniqueCount="865">
  <si>
    <t>Reviews / Inspektionen</t>
  </si>
  <si>
    <t>Reviews / Inspections</t>
  </si>
  <si>
    <t>Phase</t>
  </si>
  <si>
    <t>Description</t>
  </si>
  <si>
    <t>Planning</t>
  </si>
  <si>
    <t>During the planning phase, the moderator checks whether the entry criteria are met, e.g., whether the review object is in a reviewable state. The entire review process is planned (reviewers and dates are set, invitations are sent, etc.). The moderator also fills out the Master Plan (MP) and identifies the optimal inspection tasks.</t>
  </si>
  <si>
    <t>Kick-Off (optional)</t>
  </si>
  <si>
    <t>In the (optional) kick-off meeting, the author provides the reviewers with as much background information as possible about the review object and the project environment, so that reviewers can purposefully find errors. Additionally, the moderator presents and updates the Master Plan (MP).</t>
  </si>
  <si>
    <t>Individual Preparation</t>
  </si>
  <si>
    <t>During individual preparation, each reviewer searches for errors and other issues in the review object. The findings and their quality are reported to the moderator. The moderator collects the findings from all reviewers into a single document, preparing the review meeting and determining key data (DS).</t>
  </si>
  <si>
    <t>Review Meeting</t>
  </si>
  <si>
    <t>In the review meeting, the reviewers decide the status of each finding. In some cases, additional findings are sought during the meeting. It may also be decided whether a re-inspection of the review object is necessary. If needed, an optional “third hour” (third review session) is held after the meeting to discuss remaining errors and findings, helping to prevent similar errors in the future. The Level of Findings (LoF) is updated, and any additional comments are added. A status and responsibility are assigned.</t>
  </si>
  <si>
    <t>Reworking</t>
  </si>
  <si>
    <t>During the reworking phase, the author revises the review object and improves it according to the findings and comments, updating the reference documentation as needed. Additionally, the author updates the Level of Findings (LoF) status and documents the effort for rework in the Data Summary (DS).</t>
  </si>
  <si>
    <t>Follow-up</t>
  </si>
  <si>
    <t>In the follow-up phase, the moderator checks whether all findings have been properly processed. If no additional issues arise in the review meeting, a decision is made on whether a re-inspection of the review object is necessary. Any remaining key data and metrics are delivered in the quality description. The Review Report (RR) is generated and provided to the company.</t>
  </si>
  <si>
    <t>Version</t>
  </si>
  <si>
    <t>Datum</t>
  </si>
  <si>
    <t>Geändert von</t>
  </si>
  <si>
    <t>Beschreibung</t>
  </si>
  <si>
    <t>1.4 de</t>
  </si>
  <si>
    <t>M. Schlich</t>
  </si>
  <si>
    <t>Einarbeitung aller Reviewkommentare in Review_Template_RC_de_v1.5.xlsx</t>
  </si>
  <si>
    <r>
      <rPr>
        <sz val="10"/>
        <rFont val="Arial"/>
        <family val="2"/>
        <charset val="1"/>
      </rPr>
      <t>Review_Template_</t>
    </r>
    <r>
      <rPr>
        <b/>
        <sz val="10"/>
        <rFont val="Arial"/>
        <family val="2"/>
        <charset val="1"/>
      </rPr>
      <t>RC_de</t>
    </r>
    <r>
      <rPr>
        <sz val="10"/>
        <rFont val="Arial"/>
        <family val="2"/>
        <charset val="1"/>
      </rPr>
      <t>_v1.4.xlsx (deutsche Version der Vorlage) erstellt
Maintenance-No. 140-    ergänzt</t>
    </r>
  </si>
  <si>
    <t>1.4</t>
  </si>
  <si>
    <t>P. Rösler</t>
  </si>
  <si>
    <t>Maintenance-No. 136-139 ergänzt</t>
  </si>
  <si>
    <t>Maintenance-No. 58, 77, 79, 86-95 bearbeitet</t>
  </si>
  <si>
    <t>Minikorrektur</t>
  </si>
  <si>
    <t>Version angelegt, 1 Maint.-No. ergänzt</t>
  </si>
  <si>
    <t>1.3</t>
  </si>
  <si>
    <t>Maintenance-No. (see hidden sheet "Maintenance") 5, 74, 76, 100, 102-104, 111, 112, 116, 125, 131-133</t>
  </si>
  <si>
    <t>Maintenance-No. 58, 77, 79, 86-95</t>
  </si>
  <si>
    <t>1.2</t>
  </si>
  <si>
    <t>Design changes recommended by graphic designer Ruth Weiler, Berlin</t>
  </si>
  <si>
    <t>Maintenance-No. 69, 73, 81, 83, 84, English corrections</t>
  </si>
  <si>
    <t>1.1</t>
  </si>
  <si>
    <t>Maintenance-No. 66-68, 70-72 solved</t>
  </si>
  <si>
    <t>1.0</t>
  </si>
  <si>
    <r>
      <rPr>
        <b/>
        <sz val="10"/>
        <rFont val="Arial"/>
        <family val="2"/>
        <charset val="1"/>
      </rPr>
      <t>Release for external use.</t>
    </r>
    <r>
      <rPr>
        <sz val="10"/>
        <rFont val="Arial"/>
        <family val="2"/>
        <charset val="1"/>
      </rPr>
      <t xml:space="preserve"> 2012-08-15, Maud Schlich, Ralf Kneuper, Peter Rösler</t>
    </r>
  </si>
  <si>
    <t>0.2</t>
  </si>
  <si>
    <t xml:space="preserve">LoF new column "In Charge". Some Maintenance-No. solved. </t>
  </si>
  <si>
    <t>DS: table "Defect Summary by Status" added, DS: A37/A43: "per Unit" as formula</t>
  </si>
  <si>
    <t>0.1</t>
  </si>
  <si>
    <t xml:space="preserve">MP and LoF: cells for checklists / scenarios added, DS: B5-B18 changed, DS: Auxiliary Cells added, DS: further minor changes. Other Maintenance-No. solved. </t>
  </si>
  <si>
    <t>0.0</t>
  </si>
  <si>
    <t>P. Rösler (ReviewConsult)</t>
  </si>
  <si>
    <r>
      <rPr>
        <sz val="10"/>
        <rFont val="Arial"/>
        <family val="2"/>
        <charset val="1"/>
      </rPr>
      <t>First version created based on templates from J. Flachs and T. Gilb.
Review_Template_</t>
    </r>
    <r>
      <rPr>
        <b/>
        <sz val="10"/>
        <rFont val="Arial"/>
        <family val="2"/>
        <charset val="1"/>
      </rPr>
      <t>RC_en</t>
    </r>
    <r>
      <rPr>
        <sz val="10"/>
        <rFont val="Arial"/>
        <family val="2"/>
        <charset val="1"/>
      </rPr>
      <t xml:space="preserve">_v&lt;x.x&gt;.xlsx is the </t>
    </r>
    <r>
      <rPr>
        <b/>
        <sz val="10"/>
        <rFont val="Arial"/>
        <family val="2"/>
        <charset val="1"/>
      </rPr>
      <t>En</t>
    </r>
    <r>
      <rPr>
        <sz val="10"/>
        <rFont val="Arial"/>
        <family val="2"/>
        <charset val="1"/>
      </rPr>
      <t xml:space="preserve">glish version of </t>
    </r>
    <r>
      <rPr>
        <b/>
        <sz val="10"/>
        <rFont val="Arial"/>
        <family val="2"/>
        <charset val="1"/>
      </rPr>
      <t>R</t>
    </r>
    <r>
      <rPr>
        <sz val="10"/>
        <rFont val="Arial"/>
        <family val="2"/>
        <charset val="1"/>
      </rPr>
      <t>eview</t>
    </r>
    <r>
      <rPr>
        <b/>
        <sz val="10"/>
        <rFont val="Arial"/>
        <family val="2"/>
        <charset val="1"/>
      </rPr>
      <t>C</t>
    </r>
    <r>
      <rPr>
        <sz val="10"/>
        <rFont val="Arial"/>
        <family val="2"/>
        <charset val="1"/>
      </rPr>
      <t xml:space="preserve">onsult's review template.
Check </t>
    </r>
    <r>
      <rPr>
        <b/>
        <sz val="10"/>
        <rFont val="Arial"/>
        <family val="2"/>
        <charset val="1"/>
      </rPr>
      <t>www.reviewconsult.de</t>
    </r>
    <r>
      <rPr>
        <sz val="10"/>
        <rFont val="Arial"/>
        <family val="2"/>
        <charset val="1"/>
      </rPr>
      <t xml:space="preserve"> for newer versions of this template.</t>
    </r>
  </si>
  <si>
    <t>Copyright © 2011-2015 by ReviewConsult. Permission is granted to use, modify (including replacing the ReviewConsult logo by another logo), and distribute this template, as long as this copyright notice and the oldest history of change line (date 2011-12-13) remain part of the template.</t>
  </si>
  <si>
    <t>Farbcode</t>
  </si>
  <si>
    <t>Einheit</t>
  </si>
  <si>
    <t>Überschriftsfeld, manchmal mit erklärendem Kommentar</t>
  </si>
  <si>
    <t>pp</t>
  </si>
  <si>
    <t>Feld, in das Daten eingetragen werden</t>
  </si>
  <si>
    <t>Berechnetes Ergebnis</t>
  </si>
  <si>
    <t>Hinweise zur Wartung</t>
  </si>
  <si>
    <t>Open</t>
  </si>
  <si>
    <t>Einschränkungen und bekannte Probleme</t>
  </si>
  <si>
    <t>Nr.</t>
  </si>
  <si>
    <t>Eingetragen von</t>
  </si>
  <si>
    <t>Excelversionen:
Die Vorlage ist für die Nutzung unter Excel 2003 für Windows optimiert.</t>
  </si>
  <si>
    <t>Anzahl der Befunde:
Im Blatt DS nutzen einige Formeln die Zahl 9999 zur Berechnung. Daraus folgt, dass diese nur funktionieren, wenn in Blatt LoF weniger als ungefähr 9999 Befunde eingetragen wurden.</t>
  </si>
  <si>
    <t xml:space="preserve">Eingangs- und Ausgangskriterien:
Diese Vorlage unterstützt die Nutzung von Ein- und Ausgangskriterien nicht, d.h. es sind keine Zellen explizit dafür vorgesehen.
</t>
  </si>
  <si>
    <t>Größe der Reviewobjekte:
Wenn mehr als ein Reviewobjekt in MP eingetragen wird und diese unterschiedliche Einheiten für die Größe haben (wie z.B. LOC und pp) können einige Felder nicht korrekt berechnet werden.
("Größe der Reviewobjekte" in MP und etwa 4 weitere in DS) .</t>
  </si>
  <si>
    <t>Dropdown-Listen:
Die Dropdown-Listen in Tabellenblatt LoF Spalten "Reviewobjekt" und "Input von" sind absichtlich auf die Darstellung von 8 Einträgen limitiert, um dem Nutzer das viele Scrollen zu ersparen) (Siehe auch Maintenance Nr. 2)</t>
  </si>
  <si>
    <t>Konsistenz zwischen den Tabellenblättern MP und RR:
Das Tabellenblatt RR nutzt etwa 15 Felder deren Werte direkt aus MP entnommen werden. Formatänderungen auf MP wie z.B. Durchstreichungen werden nicht automatisch auf die Felder in RR übernommen. Siehe auch Maintenance Nr. 47.</t>
  </si>
  <si>
    <t>Konsistenz zwischen den Tabellenblättern MP und RR:
Wenn auf Blatt MP weitere Zeilen hinzugefügt werden, um mehr als 3 Reviewobjekte oder mehr als 3 Referenzdokumente einzutragen, so muss dies auf RR ebenfalls angepasst werden.</t>
  </si>
  <si>
    <t>Die Hinweise zu Excel wurden so verallgemeinert, dass sie auch auf Version Excel 2010 passen. Die Vorlage wurde jedoch nicht auf Excel 2010 konvertiert oder sonstwie angepasst.</t>
  </si>
  <si>
    <t>Masterplan</t>
  </si>
  <si>
    <t>Review No..</t>
  </si>
  <si>
    <t>Project</t>
  </si>
  <si>
    <t>Project manager</t>
  </si>
  <si>
    <t>Qauality expert / manager</t>
  </si>
  <si>
    <t>Moderator</t>
  </si>
  <si>
    <t>Author(s)</t>
  </si>
  <si>
    <t>Review Objects</t>
  </si>
  <si>
    <t>Abbr.</t>
  </si>
  <si>
    <t>1.</t>
  </si>
  <si>
    <t>2.</t>
  </si>
  <si>
    <t>3.</t>
  </si>
  <si>
    <t>Reference Documents</t>
  </si>
  <si>
    <t>Checklists / Scenarios</t>
  </si>
  <si>
    <t>Reviewer</t>
  </si>
  <si>
    <t>Names (and chapters / checklists or scenarios assigned to the review)</t>
  </si>
  <si>
    <t>4.</t>
  </si>
  <si>
    <t>5.</t>
  </si>
  <si>
    <t>6.</t>
  </si>
  <si>
    <t>7.</t>
  </si>
  <si>
    <t>8.</t>
  </si>
  <si>
    <t>9.</t>
  </si>
  <si>
    <t>10.</t>
  </si>
  <si>
    <t>Kick-off</t>
  </si>
  <si>
    <t>Date / Time / Location</t>
  </si>
  <si>
    <t>Unit</t>
  </si>
  <si>
    <t>Submission of findings by</t>
  </si>
  <si>
    <t>Size of review objects</t>
  </si>
  <si>
    <t>NLOC</t>
  </si>
  <si>
    <t>Optimal Inspection rate</t>
  </si>
  <si>
    <t>Optimale Inspection time</t>
  </si>
  <si>
    <t>Additional Notes</t>
  </si>
  <si>
    <t>List of Findings (Befundliste)</t>
  </si>
  <si>
    <t>Review Meeting, Re-work and Follow-up</t>
  </si>
  <si>
    <t>No.</t>
  </si>
  <si>
    <t>Review Object</t>
  </si>
  <si>
    <t>Finding Location</t>
  </si>
  <si>
    <t>Checklist / Scenario</t>
  </si>
  <si>
    <t>Found by</t>
  </si>
  <si>
    <t>Severity Level</t>
  </si>
  <si>
    <t>Comments</t>
  </si>
  <si>
    <t>Status</t>
  </si>
  <si>
    <t>Responsible Person / Date</t>
  </si>
  <si>
    <t>1</t>
  </si>
  <si>
    <t>spec.md</t>
  </si>
  <si>
    <t>/docs</t>
  </si>
  <si>
    <t>Spec says Node/Express/Prisma, repo uses Spring Boot + JPA. Align spec or document deviation.</t>
  </si>
  <si>
    <t>Consistency</t>
  </si>
  <si>
    <t>Major</t>
  </si>
  <si>
    <t>2</t>
  </si>
  <si>
    <t>Comment.java</t>
  </si>
  <si>
    <t>/models</t>
  </si>
  <si>
    <t>Invalid @Temporal on LocalDateTime. @Temporal is for java.util.Date/Calendar, not LocalDateTime. Remove and set timestamps via callbacks.</t>
  </si>
  <si>
    <t>Bug</t>
  </si>
  <si>
    <t>3</t>
  </si>
  <si>
    <t>User.java</t>
  </si>
  <si>
    <t>Missing unique/email validation. Consider @Email and unique constraint on email.</t>
  </si>
  <si>
    <t>Improvement</t>
  </si>
  <si>
    <t>minor</t>
  </si>
  <si>
    <t>4</t>
  </si>
  <si>
    <t>Group.java</t>
  </si>
  <si>
    <t>visibility as free‑text. Use enum (PRIVATE/PUBLIC) and length constraints.</t>
  </si>
  <si>
    <t>5</t>
  </si>
  <si>
    <t>Task.java</t>
  </si>
  <si>
    <t>Priority/Status defaults vs spec. Verify defaults and allowed values match requirements.</t>
  </si>
  <si>
    <t>6</t>
  </si>
  <si>
    <t>security configs</t>
  </si>
  <si>
    <t>prod profile depends on env props. Ensure allowed.origin and role property present in prod; document .env.sample.</t>
  </si>
  <si>
    <t>Risk</t>
  </si>
  <si>
    <t>7</t>
  </si>
  <si>
    <t>repos</t>
  </si>
  <si>
    <t>Missing pagination on collections. Add Pageable methods for listing tasks by group.</t>
  </si>
  <si>
    <t>8</t>
  </si>
  <si>
    <t>createdBy is a Long, not relation. Align with `Task.createdBy` (ManyToOne User) for consistency and FK integrity.</t>
  </si>
  <si>
    <t>9</t>
  </si>
  <si>
    <t>Missing relations to User/Task `createdBy` and `createdIn` are Longs; model as `@ManyToOne User` and `@ManyToOne Task` to enforce integrity.</t>
  </si>
  <si>
    <t>Design</t>
  </si>
  <si>
    <t>10</t>
  </si>
  <si>
    <t>entities</t>
  </si>
  <si>
    <t>Bean Validation missing. Add `@NotNull`, `@Size`, and optional `@Email` to reflect DB constraints and spec limits.</t>
  </si>
  <si>
    <t>Quality</t>
  </si>
  <si>
    <t>11</t>
  </si>
  <si>
    <t>naming</t>
  </si>
  <si>
    <t>Snake vs camel in column names. Mixed usage (`created_by` vs `createdBy`). Standardize naming convention.</t>
  </si>
  <si>
    <t>12</t>
  </si>
  <si>
    <t>toolchain</t>
  </si>
  <si>
    <t>Java version vs docs. `pom.xml` sets `&lt;java.version&gt;21&lt;/java.version&gt;`, `how_to_run_review.md` says JDK 17. Align requirements/docs.</t>
  </si>
  <si>
    <t>13</t>
  </si>
  <si>
    <t>columns/lengths</t>
  </si>
  <si>
    <t>Missing size limits. Add `@Size`/`length` on `User.surname/lastname`, `Group.description`, etc., to match UI/spec expectations.</t>
  </si>
  <si>
    <t>14</t>
  </si>
  <si>
    <t>CORS config</t>
  </si>
  <si>
    <t>Null allowed origin risk. `allowed.origin` may be null in prod profile; add default/validation to avoid invalid CORS config.</t>
  </si>
  <si>
    <t>15</t>
  </si>
  <si>
    <t>dependency versions</t>
  </si>
  <si>
    <t>Floating latest Postgres image. Pin Postgres image version in compose to avoid unexpected changes.</t>
  </si>
  <si>
    <t>16</t>
  </si>
  <si>
    <t>Docker-compose</t>
  </si>
  <si>
    <t>Container name mismatch. `postgres-studyconnect-prod` under dev compose file name may confuse environments. Rename or clarify.</t>
  </si>
  <si>
    <t>Config</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</si>
  <si>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</si>
  <si>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</si>
  <si>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</si>
  <si>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</si>
  <si>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</si>
  <si>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</si>
  <si>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</si>
  <si>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</si>
  <si>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</si>
  <si>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</si>
  <si>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</si>
  <si>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</si>
  <si>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</si>
  <si>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</si>
  <si>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</si>
  <si>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</si>
  <si>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</si>
  <si>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</si>
  <si>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</si>
  <si>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</si>
  <si>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</si>
  <si>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</si>
  <si>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</si>
  <si>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</si>
  <si>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</si>
  <si>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</si>
  <si>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</si>
  <si>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</si>
  <si>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</si>
  <si>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</si>
  <si>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</si>
  <si>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</si>
  <si>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</si>
  <si>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</si>
  <si>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</si>
  <si>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</si>
  <si>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</si>
  <si>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</si>
  <si>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</si>
  <si>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</si>
  <si>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</si>
  <si>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</si>
  <si>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</si>
  <si>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</si>
  <si>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</si>
  <si>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</si>
  <si>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</si>
  <si>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</si>
  <si>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</si>
  <si>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</si>
  <si>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</si>
  <si>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</si>
  <si>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</si>
  <si>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</si>
  <si>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</si>
  <si>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</si>
  <si>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</si>
  <si>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</si>
  <si>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</si>
  <si>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</si>
  <si>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</si>
  <si>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</si>
  <si>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</si>
  <si>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</si>
  <si>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</si>
  <si>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</si>
  <si>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</si>
  <si>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</si>
  <si>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</si>
  <si>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</si>
  <si>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</si>
  <si>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</si>
  <si>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</si>
  <si>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</si>
  <si>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</si>
  <si>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</si>
  <si>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</si>
  <si>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</si>
  <si>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</si>
  <si>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</si>
  <si>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</si>
  <si>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</si>
  <si>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</si>
  <si>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</si>
  <si>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Review Report</t>
  </si>
  <si>
    <t>Report Date</t>
  </si>
  <si>
    <t>Review objects</t>
  </si>
  <si>
    <t>Review Decisions</t>
  </si>
  <si>
    <t>[Approved / Not approved] by</t>
  </si>
  <si>
    <t>Follow-up  through</t>
  </si>
  <si>
    <t>Re-inspection necessary</t>
  </si>
  <si>
    <t>Name (and chapters/checklists or scenarios assigned for the review)</t>
  </si>
  <si>
    <t>Additional Comments</t>
  </si>
  <si>
    <t>Issue List for Maintenance / further Development of this Template</t>
  </si>
  <si>
    <t>Location of Finding</t>
  </si>
  <si>
    <t>Finding Description</t>
  </si>
  <si>
    <t>Checklist / Scenario Id.</t>
  </si>
  <si>
    <t>Input from</t>
  </si>
  <si>
    <t>Seve-
rity</t>
  </si>
  <si>
    <t>Comment</t>
  </si>
  <si>
    <t>In Charge / Date / ...</t>
  </si>
  <si>
    <t>LoF</t>
  </si>
  <si>
    <t>title line</t>
  </si>
  <si>
    <t xml:space="preserve">Autofilter geht nur mit zusammenhängendem Bereich. </t>
  </si>
  <si>
    <t>ros</t>
  </si>
  <si>
    <t>leider</t>
  </si>
  <si>
    <t>Rejected</t>
  </si>
  <si>
    <t>Auswahlfeld für Reviewobject und "Input from" sieht etwas seltsam aus</t>
  </si>
  <si>
    <t>Mentioned in README, Restrictions &amp; Known Bugs</t>
  </si>
  <si>
    <t>Postponed</t>
  </si>
  <si>
    <t>MP</t>
  </si>
  <si>
    <t>internationalere Reviewer-Namen</t>
  </si>
  <si>
    <t>Logo verankern, damit es bei Spaltenverbreiterung am Platz bleibt</t>
  </si>
  <si>
    <t>Zu viel Aufwand</t>
  </si>
  <si>
    <t>MP &amp; RP</t>
  </si>
  <si>
    <t>"Additional Remarks" Felder sind unpraktisch</t>
  </si>
  <si>
    <t>ROS 27.02.2013: Auf eine Zeile reduziert, die 4 Zeilen hoch ist. Nachteil in Kauf genommen, dass beim Anpassen der Höhe durch Doppelclick die Höhe auf eine Zeile zurückfällt.</t>
  </si>
  <si>
    <t>Solved</t>
  </si>
  <si>
    <t>DS</t>
  </si>
  <si>
    <t>Feld "Time for Review Meeting (h)" kann auch weggelassen werden</t>
  </si>
  <si>
    <t>DS etc.</t>
  </si>
  <si>
    <t>Felder mit Formeln, also Felder, die nicht ausgefüllt werden sollen, sind derzeit mit helltürkis gefüllt. Evtl. gibt es eine gestalterisch schönere Farbe.</t>
  </si>
  <si>
    <t>ausprobiert, es kommt nur hellgrün oder hellgelb in Frage, aber helltürkis kommt mir minimal besser vor. Vgl. aber No. 73</t>
  </si>
  <si>
    <t>Zeilen "Kickoff", "Checking", "Review Meeting": Überschriften wie "Meeting Date/Time/Location" evtl. nicht in Spalte B, sondern in Spalte A eine Zeile drunter positionieren.</t>
  </si>
  <si>
    <t>ausprobiert, sieht schlechter aus.</t>
  </si>
  <si>
    <t>prüfen, wie die helltürkisen Felder aussehen, wenn Template komplett leer ist (gibt es DIV0 oder so was).</t>
  </si>
  <si>
    <t>wenn alles leer ist steht überall 0. OK (ThMo)</t>
  </si>
  <si>
    <t>Reworkfeld könnte man einsparen, weil es Feld C16 für Autor gibt</t>
  </si>
  <si>
    <t>alle Blätter</t>
  </si>
  <si>
    <t>Einfügen-&gt;Namen: prüfen ob alles benötigt wird (je Blatt unterschiedlich). Ebenso dass keine überflüssigen Makros drin sind. Und wie die Druckansicht aussieht (Datei-&gt;Seitenansicht).</t>
  </si>
  <si>
    <t>zuletzt erl. 06.07.2012</t>
  </si>
  <si>
    <t>Name Reviewer_Abbr nicht richtig definiert. Genauso Document_abbreviations</t>
  </si>
  <si>
    <t>Spalte Input from: falsche Eingaben werden nicht angemotzt (was vielleicht ok ist, aber ich verstehe Gültigkeitsdefi. nicht ganz, bei Severity verhält es sich anders, weil Quelle keine Namensdefinition ist, sondern eine konkrete Aufzählung)</t>
  </si>
  <si>
    <t>Es ginge mit ""Leere Zellen ignorieren" nicht auswählen". Nichts tun, denn sonst wird "all" auch angemotzt</t>
  </si>
  <si>
    <t>README</t>
  </si>
  <si>
    <t>erklären was blaue Felder bedeuten</t>
  </si>
  <si>
    <t>Dup. zu 116
 Warten, ob überhaupt jemand damit auf die Schnauze fällt</t>
  </si>
  <si>
    <t>Duplicate</t>
  </si>
  <si>
    <t xml:space="preserve">Simulieren, wie es über Beamer aussieht, bei LoF reicht 800*600 nicht. </t>
  </si>
  <si>
    <t>Workaround im wirklichen Leben ist: Zoom ändern oder Spalten D und G schmaler machen</t>
  </si>
  <si>
    <t>DS, MP</t>
  </si>
  <si>
    <t>In Feldern wo ich Unit reinbaue, wird Zeilenhöhe nicht automatisch angepast</t>
  </si>
  <si>
    <t>Betrifft nur MP,  Opt. Check. Rate</t>
  </si>
  <si>
    <t>B30&amp;31</t>
  </si>
  <si>
    <t>0 Dezimalstellen bei NLOC wäre schöner</t>
  </si>
  <si>
    <t>Location evtl. linksbündig</t>
  </si>
  <si>
    <t>sieht schlechter aus</t>
  </si>
  <si>
    <t>C32 u.a. helltürkise Felder</t>
  </si>
  <si>
    <t>evtl. Feld vor ungewollten Änderungen schützen. Gilt evtl. auch für andere Tabellenblätter.</t>
  </si>
  <si>
    <t>dup. zu No. 21</t>
  </si>
  <si>
    <t>Exit ist keine separate Phase. Allgemein: die Beschreibung sollte im Prinzip identisch zur Website sein.</t>
  </si>
  <si>
    <t>ros, msc, rkn, awg</t>
  </si>
  <si>
    <t>28.06.2012 ROS</t>
  </si>
  <si>
    <t>Zellenschutz verwenden vor allem für blaue Felder</t>
  </si>
  <si>
    <t>Hab's an Blatt DS ausprobiert (Review_Template_RC_v0.2_filled_tmp-TestBlattschutz.xlsx). Mir gefällt nicht, dass Benutzer dann die leeren Felder nicht formatieren kann. Befürchte weitere Nebeneffekte, die den Nutzen überwiegen. ROS 03.07.2012. MSC 20.07.2012: aus meiner Sicht ok. 09.05.2014: TN sagt, man kann Zellschutz pro Feld freigeben, z.B. Formatierung.</t>
  </si>
  <si>
    <t>Spalte "Input from" wollen wir evtl. nicht.</t>
  </si>
  <si>
    <t>Da waren Datenschutzüberlegungen ein Grund. In der Praxis braucht man die Spalte aber.</t>
  </si>
  <si>
    <t>Severity: "-" ist unsprechend, warum nicht gleich "Vorschlag" nennen?</t>
  </si>
  <si>
    <t>"Vorschlag" ist nur eine der Möglichkeiten unter "-". "-" ist zwar unsprechend, aber optisch sehr sprechend.</t>
  </si>
  <si>
    <t>wir hatten zuletzt 2 Commentspalten vereinbart</t>
  </si>
  <si>
    <t>28.06.2012 ROS: stimmt, aber ich will die Breite des Blatts LoF nicht vergrößern, weil es so auf bestimmten Bildschirmen noch komplett draufpasst. In der Praxis reicht auch eine Spalte.</t>
  </si>
  <si>
    <t>Status: wir hatten evtl. mehr Stati</t>
  </si>
  <si>
    <t>28.06.2012 ROS: ich mache erst was, wenn uns ein Status konkret abgeht.</t>
  </si>
  <si>
    <t>Warum Logo nicht rechtsbündig?</t>
  </si>
  <si>
    <t>Höhe von Zeile 3 evtl. verringern</t>
  </si>
  <si>
    <t>28.06.2012 ROS: geht nimmer wg. Feld "Checklist / Scenario Id."</t>
  </si>
  <si>
    <t>Idee: Logo evtl. nur in Kopfzeile (Nachteil: nur bei Druck sichtbar)</t>
  </si>
  <si>
    <t>RP</t>
  </si>
  <si>
    <t>B12</t>
  </si>
  <si>
    <t>Moderator auch aufführen</t>
  </si>
  <si>
    <t>MSC sucht raus, welche Felder fehlen (z.B. Reference Documents, oder Kriterien gegen die geprüft wurde)</t>
  </si>
  <si>
    <t>erl. durch Diff_RC-v0.0_filled_zu_RC-MSC_v0.4_deutsch.xlsx</t>
  </si>
  <si>
    <t>A13</t>
  </si>
  <si>
    <t>Refe. Doc. / Criteria</t>
  </si>
  <si>
    <t>28.06.2012 ROS: Nutzen ist mir zu klein gegenüber dem Umfangreicherwerdens des Templates.</t>
  </si>
  <si>
    <t>RP klingt nach Rheinland Pfalz, warum nicht RR oder Rep?</t>
  </si>
  <si>
    <t>Solved incl. README D27</t>
  </si>
  <si>
    <t>Z 6</t>
  </si>
  <si>
    <t>Spalten D ff sehen so aus, als ob es zu Reviewer 1 gehört (gestalterisch)</t>
  </si>
  <si>
    <t>Stimmt zwar, aber die Alternative (s. Review_Template_RC-MSC_v0.4_deutsch.xlsx) erschwert die optische Zuordnung der Felder zu der Titelzeile.
05.07.2012 ROS: doch noch solved, s. No. 54</t>
  </si>
  <si>
    <t>G6</t>
  </si>
  <si>
    <t>Rework Time gehört nicht in die Reviewzeiten</t>
  </si>
  <si>
    <t>ros: bei Telko zu diskutieren, bin anderer Meinung. 28.06.12: meine mich zu erinnern, dass der Vorschlag keine Mehrheit fand, daher -&gt;rejected</t>
  </si>
  <si>
    <t>B28</t>
  </si>
  <si>
    <t>Diese Total sind weniger als in LoF, weil Dup &amp; Rej fehlt, evtl. Zwischen-Totals ausweisen</t>
  </si>
  <si>
    <t>ROS 28.06.12: Wenn dann gleich aus Firma1 "Defect Summary by Status" übernehmen.
02.07.12 ROS:  table "Defect Summary by Status" added</t>
  </si>
  <si>
    <t>RC-Website</t>
  </si>
  <si>
    <t>DS A34: warum Vortrag nicht auf RC-Homepage ablegen?</t>
  </si>
  <si>
    <t>Nur in Zusammenhang mit einer Homepage-Erweiterung miterledigen. ROS 03.07.2012</t>
  </si>
  <si>
    <t>B35</t>
  </si>
  <si>
    <t>Kommentar: "neccess.." typo (2 mal)</t>
  </si>
  <si>
    <t>C35</t>
  </si>
  <si>
    <t>Feldname wird in MP mit anderer Bedeutung verwendet</t>
  </si>
  <si>
    <t>ROS: Stimmt, im MP als Zeit pro Reviewer, im DS als Zeit für alle Reviewer. Mit fällt aber keine unverkrampfte Lösungsmöglichkeit ein und ich erwarte vom "User" keine Fehlinterpretation. (ROS)
ROS 09.03.2013: habe klarstellende Kommentare in beide Felder eingefügt.</t>
  </si>
  <si>
    <t>Was soll ein halber Reviewer sein? Das ist mindestens nicht nachvollziehbar.</t>
  </si>
  <si>
    <t>Will ich im Template nicht erläutern, muss Bestandteil eines noch zu schreibenden Buches sein. (ROS)</t>
  </si>
  <si>
    <t>F36, Z. 22-28</t>
  </si>
  <si>
    <t>Feld F36 kann automatisch berechnet werden und in Z 22-28 können die Mj in Reference Documents separat ausgewiesen werden.</t>
  </si>
  <si>
    <t>Stimmt zwar, aber der "Programmier"-Aufwand ist mir zu hoch. (ROS 28.06.12)</t>
  </si>
  <si>
    <t>A37 (v0.2: A48, A54, E11)</t>
  </si>
  <si>
    <t>"per Unit" ersetzen durch Formel die z.B. "per NLOC" ausgibt</t>
  </si>
  <si>
    <t xml:space="preserve">Der Nutzen ist mir zu klein im Verhältnis zur Verkomplizierung der Wartung des Templates. (ROS 28.06.12)
msc/ros: ros soll erneut nachdenken.
ROS 02.07.2012: solved.
</t>
  </si>
  <si>
    <t>MP, LoF</t>
  </si>
  <si>
    <t>Beschluss 06.06.12: Hilfsdokumente einbauen</t>
  </si>
  <si>
    <t>msc, ros</t>
  </si>
  <si>
    <t>A31</t>
  </si>
  <si>
    <t>Beschluss 06.06.12: aus ROS-Zweig: "s" ergänzen</t>
  </si>
  <si>
    <t>B6ff</t>
  </si>
  <si>
    <t>Beschluss 06.06.12: Diagonal wegnehmen</t>
  </si>
  <si>
    <t>A21,B22</t>
  </si>
  <si>
    <t>Beschluss 06.06.12: aus ROS-Zweig, evtl. "numbers"</t>
  </si>
  <si>
    <t>Beschluss 06.06.12: Hilfsrechner kommt rein, ohne Datum</t>
  </si>
  <si>
    <t>RR</t>
  </si>
  <si>
    <t>B15 und andere türkise Felder</t>
  </si>
  <si>
    <r>
      <rPr>
        <sz val="10"/>
        <rFont val="Arial"/>
        <family val="2"/>
        <charset val="1"/>
      </rPr>
      <t xml:space="preserve">Wenn diese Felder im MP zweizeilig gefüllt werden, wird die Feldhöhe in </t>
    </r>
    <r>
      <rPr>
        <b/>
        <sz val="10"/>
        <rFont val="Arial"/>
        <family val="2"/>
        <charset val="1"/>
      </rPr>
      <t>RR</t>
    </r>
    <r>
      <rPr>
        <sz val="10"/>
        <rFont val="Arial"/>
        <family val="2"/>
        <charset val="1"/>
      </rPr>
      <t xml:space="preserve"> nicht automatisch erhöht. 28.06.2012</t>
    </r>
  </si>
  <si>
    <t>Mentioned in README, Restrictions &amp; Known Bugs
ROS: Makros wie in http://www.office-loesung.de/ftopic234187_0_0_asc.php vorgeschlagen will ich nicht einbauen, das bleibt ein "known bug". ROS 03.07.2012</t>
  </si>
  <si>
    <t>Logo nicht gleich groß und gleich positioniert</t>
  </si>
  <si>
    <t>Wie in Blatt Maintenance zu sehen, ist eine weitere Spalte ("Follow-Up nötig J/N" oder "Wiedervorlage für" oder ähnlich) dann nötig, wenn es ein mehrfaches Hin-und-her zwischen Rework und Follow-Up gibt (was im Review-Prozess nicht abgebildet ist)</t>
  </si>
  <si>
    <t>Will keine Spalte für seltene Fälle einbauen. ROS 03.07.2012
Aber vgl. No. 62</t>
  </si>
  <si>
    <t>Tab. "Defect Summary by Status": Spalte Total evtl. als letzte Spalte</t>
  </si>
  <si>
    <t>Coypright-Vermerk (bzw. anti-copyright notice) einbauen, wenn wir das Template breit streuen wollen. http://en.wikipedia.org/wiki/Copyleft</t>
  </si>
  <si>
    <t>Vgl.: Copyright © 2001 by Karl E. Wiegers. Permission is granted to use, modify, and distribute this document.
http://www.cs.toronto.edu/~sme/CSC444F/handouts/inspection_issue_log.pdf</t>
  </si>
  <si>
    <t>C7</t>
  </si>
  <si>
    <t>"so that each reviewer can reasonable find defects" --&gt; " reasonably"</t>
  </si>
  <si>
    <t>A48-E48, A54-E54</t>
  </si>
  <si>
    <t>gestalterisch evtl. noch nicht einheitlich zum Rest. Ebenso die fette Linie zwischen Zeilen 47/48, 53/54</t>
  </si>
  <si>
    <t>D6-H6</t>
  </si>
  <si>
    <t>wg. gestalterisch nach Zeile 18 verschieben? Vgl. E66-H66</t>
  </si>
  <si>
    <t>dup. zu No. 33</t>
  </si>
  <si>
    <t>B5/C5-B8/C8</t>
  </si>
  <si>
    <t>Zellen aufsplitten, damit falls gewünscht die Abbrev. für diese Personen leichter eingebaut werden kann</t>
  </si>
  <si>
    <t>für B3/C3-B8/C8 gemacht. ROS 04.07.2012</t>
  </si>
  <si>
    <t>Temp. Maint. Notes sind noch in deutsch</t>
  </si>
  <si>
    <t>In der "filled"-Datei sind die Findings alle auf deutsch</t>
  </si>
  <si>
    <t>Umgangen durch Kommentare in MP, A41-A42</t>
  </si>
  <si>
    <t>In der "filled"-Datei sind die Findings aus einem Seminarübungsbeispiel von ROS. Wer die Findings liest und dann zeitnah das Seminar besucht, findet mehr Fehler als sonst zu erwarten wäre. Beachte auch Buchproblematik.</t>
  </si>
  <si>
    <t>(ehem.: Risiko wird in Kauf genommen)
Auch "Reflighting" ersetzen. Mindestens einige Mj verändern. Anzahl darf sich wg. DS nicht ändern.</t>
  </si>
  <si>
    <t>Erwähnen, wo man die neueste Version des Templates downloaden kann?</t>
  </si>
  <si>
    <t>"Check www.reviewconsult.de for newer versions of this template" in Datei-&gt;Eigenschaften</t>
  </si>
  <si>
    <t>Prüfen, welche verbundene Zellen man auflösen kann, denn verbundene Zellen haben gewisse Macken.</t>
  </si>
  <si>
    <t>zuletzt erl. 05.07.2012</t>
  </si>
  <si>
    <t>Datei</t>
  </si>
  <si>
    <t>Dateinamen festlegen
Review_Template_RC_de_v1.0.xlsx
Review_Template_RC_de_v1.0_filled.xlsx
Review_Template_RC_en_v1.0.xlsx
Review_Template_RC_en_v1.0_filled.xlsx
Review_Template_RC_v1.0-de.xlsx
Review_Template_RC_v1.0-de_filled.xlsx
Review_Template_RC_v1.0-en.xlsx
Review_Template_RC_v1.0-en_filled.xlsx
Review_Template_RC_v1.0.xlsx
Review_Template_RC_v1.0_filled.xlsx
Review_Vorlage_RC_v1.0.xlsx
Review_Vorlage_RC_v1.0_ausgefüllt.xlsx</t>
  </si>
  <si>
    <t>MSC, ROS: 1. Variante nehmen wir. Seiteneffekt auf History of Change v0.0 beachten.
ROS 20.07.2012 Solved</t>
  </si>
  <si>
    <t>Status-Spalte</t>
  </si>
  <si>
    <t>Folgende in der Praxis sinnvolle Abweichung vom Standard-Reviewprozess wird derzeit nicht durch unser Template unterstützt:
Für den Fall, dass Autor vor der Sitzung die Findings liest und bewertet, brauchen wir weitere Stati wie Open_and_to_be_discussed oder Open_and_accepted. 08.07.2012
Vgl. No. 49: "Wie in Blatt Maintenance zu sehen, ist eine weitere Spalte ("Follow-Up nötig J/N" oder "Wiedervorlage für" oder ähnlich) dann nötig, wenn es ein mehrfaches Hin-und-her zwischen Rework und Follow-Up gibt (was im Review-Prozess nicht abgebildet ist)"
ROS-Vorschlag, wie es mit vorhandenen Stati geht:
Wenn der Autor vor dem Meeting die Findings bewertet, bedeutet:
- Open = Open and accepted, keine Diskussion nötig
- Solved = accepted und sogar schon solved, keine Diskussion nötig (Wie kennzeichnet man aber "solved und will im Meeting zeigen, wie"? Antwort: Status leer lassen und im Comment schreiben: Solved)
- Rejected: Diskussion ist sowieso sinnvoll
- leerer Status: Diskussion wie bei normalem Reviewprozess, kann im Meeting zu Open, Rejected etc. werden.
Nachteil des Vorschlags: es ist intuitiv unplausibel, dass man in der Sitzung gerade die "Open" nicht diskutiert. Man muss es so sehen: Am Ende der Sitzung muss jedes Finding einen Status haben, die Zeilen mit "Open" haben schon einen Status, also müssen gerade die anderen Zeilen besprochen und mit Status versehen werden.</t>
  </si>
  <si>
    <t>MSC 20.07.2012: doch überlegen, ob weitere Status sinnvoll. Z.B. In Work. 
ROS 20.07.2012: es läuft auf eine Zusatz-Spalte "In Charge" o.ä. raus. Neue Stati allein haben unschöne Seiteneffekte auf DS Zeilen 31 ff.
Solved: LoF new column "In Charge"
MSC: ROS: evtl. Author/Reviewer weg und Follow-Up rein.
Solved 08.08.2012</t>
  </si>
  <si>
    <t>Evtl. Zeile 6 bis 17 gruppieren?</t>
  </si>
  <si>
    <t>Macht DS etwas häßlicher und wird wohl kaum gebraucht.</t>
  </si>
  <si>
    <t>G21</t>
  </si>
  <si>
    <t>Mehrzahl? Auch Kommentar in MP, A34</t>
  </si>
  <si>
    <t>A24</t>
  </si>
  <si>
    <t>Copyright 2011-2012</t>
  </si>
  <si>
    <t>rkn</t>
  </si>
  <si>
    <t>1.0 LoF</t>
  </si>
  <si>
    <t>H2</t>
  </si>
  <si>
    <t>Follow-Up verwendet die Spalten auch. Kommentar stimmt auch nicht ("after").</t>
  </si>
  <si>
    <t>Zeile 103</t>
  </si>
  <si>
    <t>überlegen, ob Zeile unten einen gestrichelten Rahmen haben soll wie alle anderen Zeilen drüber</t>
  </si>
  <si>
    <t>C3 Kommentar</t>
  </si>
  <si>
    <t>"4.1.2," -&gt; "4.1.2"</t>
  </si>
  <si>
    <t>"If the finding occurs more than once in the review object (and it is too time-consuming to specify all locations), the wording "and others" can be used."
-&gt; besser weil kürzer evtl. "etc."</t>
  </si>
  <si>
    <t>1.0 RR</t>
  </si>
  <si>
    <t>B14</t>
  </si>
  <si>
    <t>hat nicht denselben Text wie MP B20. Evtl. sollte hier und bei ähnlichen Feldern der Inhalt aus MP formelmässig übernommen werden.</t>
  </si>
  <si>
    <t>1.0 DS</t>
  </si>
  <si>
    <t>Zeilen 23-27, 33-37</t>
  </si>
  <si>
    <t>Spalte I statt J muss abgefragt werden</t>
  </si>
  <si>
    <t xml:space="preserve">Zeilen 47, 53 </t>
  </si>
  <si>
    <t>Effectiveness Estimations: Anzahl Majors found so setzen, dass bei "Total Majors before" ungefähr 21 herauskommt (konsistent zu B23)</t>
  </si>
  <si>
    <t>Farben sind schrecklich und behindern Verbreitung des Templates. Blau passt nicht zu grün, das grün ist zu kräftig.</t>
  </si>
  <si>
    <t>flj</t>
  </si>
  <si>
    <t>Mit Extras-&gt;Optionen-&gt;Farbe folgende Standardfarben geändert:
Gelbgrün nach 222, 235, 205 (Überschriftenfelder)
Dunkelgelb nach 201, 201, 201 (Feldrahmen)
Helltürkis nach 213, 245, 251 (berechnete Felder)</t>
  </si>
  <si>
    <t xml:space="preserve">Evtl. "Template Maintenance Notes" -&gt; "Restrictions, Known Bugs &amp; Template Maintenance Notes"
</t>
  </si>
  <si>
    <t>Falls wir benutzerdefinierte Farben verwenden (ja: No. 73), muss diese Tatsache in "Template Maintenance Notes" dokumentiert werden</t>
  </si>
  <si>
    <t>Evtl. Bereich einfügen mit "References &amp; Applicable Documents", dazu gehören z.B. Review-Datenbank, Reviewhandbuch, Qualitätssicherungshandbuch</t>
  </si>
  <si>
    <t>C11: "During the follow-up it will be checked whether all findings are solved as defined during the review meeting." will Reviewer geändert haben in:
"During the follow-up it will be checked whether all findings of the review meeting are solved as defined."
Anderer Reviewer will:
"During the follow-up it will be checked whether all findings of the review meeting are solved as defined."</t>
  </si>
  <si>
    <t>09.11.2012 ROS. MSC: "During the follow-up it will be checked whether all findings are solved as defined."</t>
  </si>
  <si>
    <t>C20: "Abbreviations to be used in the List of Findings, " will Reviewer geändert haben in:
"Abbreviations are to be used in the List of Findings, "</t>
  </si>
  <si>
    <t>09.11.2012: MSC, ROS: rejected</t>
  </si>
  <si>
    <t>C7: Reviewer will "In a kick-off meeting, the author provides as much background information as possible to the reviewers"</t>
  </si>
  <si>
    <r>
      <rPr>
        <sz val="10"/>
        <rFont val="Arial"/>
        <family val="2"/>
        <charset val="1"/>
      </rPr>
      <t>09.11.2012 MSC, ROS:
In a kick-off meeting</t>
    </r>
    <r>
      <rPr>
        <b/>
        <sz val="10"/>
        <rFont val="Arial"/>
        <family val="2"/>
        <charset val="1"/>
      </rPr>
      <t>,</t>
    </r>
    <r>
      <rPr>
        <sz val="10"/>
        <rFont val="Arial"/>
        <family val="2"/>
        <charset val="1"/>
      </rPr>
      <t xml:space="preserve"> the author provides </t>
    </r>
    <r>
      <rPr>
        <b/>
        <sz val="10"/>
        <rFont val="Arial"/>
        <family val="2"/>
        <charset val="1"/>
      </rPr>
      <t>enough</t>
    </r>
    <r>
      <rPr>
        <sz val="10"/>
        <rFont val="Arial"/>
        <family val="2"/>
        <charset val="1"/>
      </rPr>
      <t xml:space="preserve"> background information to the reviewers concerning review object and project environment so that each reviewer can reasonably find defects.</t>
    </r>
  </si>
  <si>
    <t>C9, C11: Reviewer will "Follow-up" statt "follow-up".</t>
  </si>
  <si>
    <t>MP etc.</t>
  </si>
  <si>
    <t>A3-A8 etc.: Einzug (nach links) vergrößern, sonst pappt Schrift am Rahmen.</t>
  </si>
  <si>
    <t>Ruth Weiler: sie würde noch folgende Änderungen überlegen:
- DS: alle Total-Zahlen fett, die großen fetten Zahlen normal groß und rot.
- DS: D5 &amp; F5: "h" soll nicht einzeln stehen</t>
  </si>
  <si>
    <t>ROS 27.02.2013: rejected</t>
  </si>
  <si>
    <t>O11 Format falsch</t>
  </si>
  <si>
    <t>beim Drucken entsteht schwarzer Rahmen</t>
  </si>
  <si>
    <t>In Tabelle LoF sollen wohl die Ergebnisse von verschiedenen Prüfern konsolidiert werden. Dann halte ich es für ungeschickt, die Einträge nur mit einer laufenden Nummer zu versehen. Es sollte vielmehr schon gleich jeder Prüfer dazu angeregt werden, eindeutige Kennungen mit Kürzel und Nummer zu vergeben.</t>
  </si>
  <si>
    <t>H.T. 15.10.12</t>
  </si>
  <si>
    <t>ROS 05.03.2013: in Abwägung von diesem kleinen Vorteil mit dem Bedarf, das neue Verfahren beschreiben und vermitteln zu müssen, mache ich lieber nichts.</t>
  </si>
  <si>
    <t>Review_Template_RC_en_v1_2  sollte beim Öffnen das README Blatt zeigen.</t>
  </si>
  <si>
    <t>M.S. 16.10.12</t>
  </si>
  <si>
    <t>ros 17.10.2012: wäre bei öfterem Gebrauch von Reviews lästig.</t>
  </si>
  <si>
    <t>Abkürzungen in den Blatt-Taben (MP, LoF, DS, RR) durch ausgeschriebene Bezeichnungen ersetzen</t>
  </si>
  <si>
    <t>ros 17.10.2012: war Absicht, bleibe dabei</t>
  </si>
  <si>
    <t>Bei Stellen der Form „A/B“ gehört um den ‚/‘ kein Leerzeichen</t>
  </si>
  <si>
    <t>Phase Planning, „make sure that the“ =&gt; “make sure the”</t>
  </si>
  <si>
    <t>ROS 05.03.2013: war von Englischkorrekturlesern nicht kritisiert worden.</t>
  </si>
  <si>
    <t>“In a kick-off meeting the author” =&gt; “The author provides … during a kick-off meeting.”</t>
  </si>
  <si>
    <t>ROS 05.03.2013: ich belasse es.</t>
  </si>
  <si>
    <t xml:space="preserve">“List of Findings” =&gt; “Findings” ist ausreichend
</t>
  </si>
  <si>
    <t>ros 17.10.2012: stimmt zwar, aber "historisch" eingebürgert</t>
  </si>
  <si>
    <t>Maintenance</t>
  </si>
  <si>
    <t>alle Spalten wie bei LoF einführen, Format von LoF übernehmen.</t>
  </si>
  <si>
    <t>ros 17.10.2012</t>
  </si>
  <si>
    <t>Mails</t>
  </si>
  <si>
    <t>Evtl. neues Blatt mit Muster-Mails einführen</t>
  </si>
  <si>
    <t>ROS 05.03.2013: mache ich aus Zeitgründen jetzt nicht.</t>
  </si>
  <si>
    <t>In a kick-off meeting , .. 2 Kommas zuviel …occurrence.</t>
  </si>
  <si>
    <t>J.A. 15.10.12</t>
  </si>
  <si>
    <t>E22 "Defects found per". (Unit fehlt)</t>
  </si>
  <si>
    <t>ros 17.10.2012: Sobald im MP die Unit angegeben ist, steht was Sinnvolles drin.</t>
  </si>
  <si>
    <t>ROS: "Wenn Sie die Möglichkeit haben, das auszuprobieren, wäre das gut!" J.A.: "mir ist nichts besonderes aufgefallen, ich bin aber nicht sicher, welches Verhalten im Einzelnen gewollt war und bin daher vorsichtig, Aussagen zu machen. Im Screenshot sehen Sie das Ganze in LibreOffice Version 3.6.0.4 (Build ID: 932b512)."
ROS: alle Kommentare scheinen gleichzeitig dargestellt zu werden, evtl. mit J.A. über Desktopsharing das Template ausprobieren.</t>
  </si>
  <si>
    <t>J.A. 17.10.12</t>
  </si>
  <si>
    <t>ROS 05.03.2013: ich mache hier nichts.</t>
  </si>
  <si>
    <t>Erfahrungen mit LibreOffice 3.5.4 (Ubuntu 12.04 LTS):
 * die Callouts sind im Weg  und müssen per "Tools/Options/Calc/View/Drawing objects = Hide" abgeschaltet werden</t>
  </si>
  <si>
    <t>J.H. 30.10.2012</t>
  </si>
  <si>
    <t>Snapshot s. Spalte L
ROS 05.03.2013: ich mache hier nichts.</t>
  </si>
  <si>
    <t>B34 (Send Findings until ) könnte ein Auswahlfeld bekommen wie B32 und B39</t>
  </si>
  <si>
    <t xml:space="preserve">Evtl. "Project Manager" ersetzen durch "Receiver of Review Report" (Kommentar "typically a project manager") und "Quality Manager" durch "Receiver of Data Summary" (typically a quality manager and/or the process owner for reviews). Oder andersrum in A5/A6 Kommentare einbauen. </t>
  </si>
  <si>
    <t>ros 26.11.2012</t>
  </si>
  <si>
    <r>
      <rPr>
        <sz val="10"/>
        <rFont val="Arial"/>
        <family val="2"/>
        <charset val="1"/>
      </rPr>
      <t xml:space="preserve">ROS 06.03.2013: rejected, mir nicht wichtig genug. Im Buch steht übrigens: </t>
    </r>
    <r>
      <rPr>
        <sz val="8"/>
        <rFont val="Arial"/>
        <family val="2"/>
        <charset val="1"/>
      </rPr>
      <t>In vielen Firmen erhält der Projektleiter nach dem Review den Reviewbericht (»Review Report«) und der Qualitätsbeauftragte
erhält die Kennzahlen des Reviews (»Data Summary«).</t>
    </r>
  </si>
  <si>
    <t>Spalte D (Find.Descr.) auf linksbündig (statt standard) setzen. "Problem" wirkt sich wohl nur ganz selten aus.</t>
  </si>
  <si>
    <t>ros 28.11.2012</t>
  </si>
  <si>
    <t>ROS 06.03.2013: solved</t>
  </si>
  <si>
    <t>101</t>
  </si>
  <si>
    <t>Spalte "In Charge" soll auch Eintrag "3rd hour" enthalten.</t>
  </si>
  <si>
    <t>ros 15.12.2012</t>
  </si>
  <si>
    <t>Dup. zu 111</t>
  </si>
  <si>
    <t>102</t>
  </si>
  <si>
    <t>U.a. in B10, B14, B15, B18 wird Zeilenhöhe nicht automatisch angepasst, wenn Text &gt; 1 Zeile. In B25 klappts.
ROS 27.02.2013: versuche http://www.informatikserver.at/index.php/home/39/6440?format=pdf etc.</t>
  </si>
  <si>
    <t>ROS 28.02.2013: in MP alle Felder umgestellt außer bei den zusammengesetzten Feldern B32, B39, was ich nicht hinbekommen habe.</t>
  </si>
  <si>
    <t>103</t>
  </si>
  <si>
    <t>G66 und G71 mit nur 1 Nachkommastelle ist passender</t>
  </si>
  <si>
    <t>ros 28.12.2012</t>
  </si>
  <si>
    <t>ROS 27.02.2013: solved</t>
  </si>
  <si>
    <t>104</t>
  </si>
  <si>
    <t>MP&amp;LoF</t>
  </si>
  <si>
    <t>Wenn in MP C10 "31.12.12" eingetragen wird, dann steht nach dem Auswählen in LoF B4 nicht "31.12.12" drin.</t>
  </si>
  <si>
    <t>ros 31.12.2012</t>
  </si>
  <si>
    <t>ROS 05.03.2013: C10 ff. auf Format "Text" verändert.</t>
  </si>
  <si>
    <t>105</t>
  </si>
  <si>
    <t>It seems you don't use 'rules' in this example.</t>
  </si>
  <si>
    <t>n.m. 01.01.2013</t>
  </si>
  <si>
    <t>ROS 27.02.2013: richtig, wir sind hier also nicht Gilb-nah</t>
  </si>
  <si>
    <t>106</t>
  </si>
  <si>
    <t>I missed the number of majors remaining…</t>
  </si>
  <si>
    <t>ROS 27.02.2013: steht in DS, "Remain. Majors" in H46 und H52</t>
  </si>
  <si>
    <t>107</t>
  </si>
  <si>
    <t>Potential number of reviewers (10) seems to me too many for any Inspection, hence (if you agree) showing 10 lines may give a bad signal. A template is not just for use, but it also has an educational purpose.</t>
  </si>
  <si>
    <t>ROS 27.02.2013: schlechtes Signal ist richtig, aber in manchen Fällen sind mehr als 6 oder 7 nötig. Ich tendiere zum beibehalten.</t>
  </si>
  <si>
    <t>108</t>
  </si>
  <si>
    <t>Not clear what ‘Auxiliary Cells for Calculating Time Efforts’ means.</t>
  </si>
  <si>
    <t>Dup. zu 125</t>
  </si>
  <si>
    <t>109</t>
  </si>
  <si>
    <t>Seems I can overwrite cells that are getting their data from other cells (well, actually I can overwrite every cell). This way, I can inadvertently mess up elements of the spreadsheet.</t>
  </si>
  <si>
    <t>ROS 27.02.2013: Duplicate zu 21, dort rejected</t>
  </si>
  <si>
    <t>110</t>
  </si>
  <si>
    <r>
      <rPr>
        <sz val="10"/>
        <rFont val="Arial"/>
        <family val="2"/>
        <charset val="1"/>
      </rPr>
      <t xml:space="preserve">I miss root cause analysis. </t>
    </r>
    <r>
      <rPr>
        <sz val="8"/>
        <rFont val="Arial"/>
        <family val="2"/>
        <charset val="1"/>
      </rPr>
      <t>(What I ask from people is to add the 'root cause analysis' for every issue (wherever found: Inspections, tests, anywhere else). After all, all review techniques should focus on feeding prevention rather than just repair, while what I normally see is just ‘repair’. Insisting on root cause analysis helps making people aware of tendencies which helps to more explicitly prevent causing similar issues again. Small investment, fast gain.)</t>
    </r>
  </si>
  <si>
    <t>ROS 27.02.2013: Argument richtig, derzeit keine Zeit das umzusetzen. Postponed</t>
  </si>
  <si>
    <t>111</t>
  </si>
  <si>
    <t>In Charge / Date könnte noch Einträge wie "3rd hour" oder "protocol" bekommen</t>
  </si>
  <si>
    <t>ros 10.01.2013</t>
  </si>
  <si>
    <t>Dup. zu 101
ROS 27.02.2013: solved</t>
  </si>
  <si>
    <t>112</t>
  </si>
  <si>
    <t>D52 "Duplicates C": im Kommentar erwähnen, dass auch einige open Mj zu den Duplicates im Sinne von C gehören (bei Seminar am 28./29.01.2013 falsch gemacht).</t>
  </si>
  <si>
    <t>ros 04.02.2013</t>
  </si>
  <si>
    <t>ROS 05.03.2013: "Caution: This is not necessarily the number of Major findings with status "duplicate"."</t>
  </si>
  <si>
    <t>113</t>
  </si>
  <si>
    <t>Zeilen 6 bis 15: für Seminar wäre praktisch, wenn die Inspektionsrate jedes Reviewers dargestellt werden würde.</t>
  </si>
  <si>
    <t>ros 05.02.2013</t>
  </si>
  <si>
    <t>ROS 09.03.2013: wird nicht für Version 1.3 gemacht</t>
  </si>
  <si>
    <t>114</t>
  </si>
  <si>
    <t>im Blatt ReadMe werden in der Beschreibung die einzelnen Blätter wie z.B. "List of Findings" in Langform genannt aber die Abkürzungen wie 
"LoF" nicht erwähnt. Ich fände jeweils einen konkreten, vielleicht in Klammern, hilfreich.</t>
  </si>
  <si>
    <t>g.t. 07.02.2013</t>
  </si>
  <si>
    <t>ROS 27.02.2013: rejected, weil sonst die Texte länger werden. Der Nutzen ist mir zu gering.</t>
  </si>
  <si>
    <t>115</t>
  </si>
  <si>
    <t>Eine Begleitdoku zur Handhabung, in der a) das Gesamtkonzept der Verwendung kurz beschrieben wird und b) all die hilfreichen Kommentierungen der Tabellenfelder einmal aufgelistet sind.</t>
  </si>
  <si>
    <t>ROS 27.02.2013: a) leistet Buch. b) rejected</t>
  </si>
  <si>
    <t>116</t>
  </si>
  <si>
    <t>Einen Hinweis auf den verwendeten Farbcode in den Tabellen fände ich ebenfalls sinnvoll:
- weiß: hier Daten eintragen
- grün: Beschriftungen mit jeweils erklärenden Kommentierungen
- blau: berechnete Ergebnisse</t>
  </si>
  <si>
    <t>Dup. zu 14
ROS 09.03.2013: solved</t>
  </si>
  <si>
    <t>117</t>
  </si>
  <si>
    <t>LoF, DS</t>
  </si>
  <si>
    <t>Der Status "solved" sollte unterteilt werden in "der Autor glaubt, den Fehler behoben zu haben" und "die Fehlerbehebung wurde bestätigt". Je nach Rahmenbedingungen, Art des Fehlers und Vereinbarungen darf der Autor den Fehler selbst auf bestätigt setzen oder auch nicht. Hier kenne ich die Begrifflichkeiten fixed/closed und closed/confirmed.</t>
  </si>
  <si>
    <t>RKN</t>
  </si>
  <si>
    <t>ROS 25.01.13: ernsthafter Einwand, aber Korrektur wird aufwendig. Jetziger Stand funktioniert, Vorschlag ist eine Verbesserung, keine "echter" Fehler.
ROS 20.02.2013: Nicht nur "solved" müsste aufgeteilt werden, auch "rejected" und "postponed" und theoretisch "duplicate". Halte jetzigen Stand daher für besser.</t>
  </si>
  <si>
    <t>118</t>
  </si>
  <si>
    <t>CD6 entspricht nicht dem aktuellen Stand des Buches (PraxiswissenReviews_Stand2013-02-17_09h.pdf) : In 3.1 , S.21 steht: Moderator, Unterstützung durch Autor und evt. Projektleiter.</t>
  </si>
  <si>
    <t>h.j. 27.02.13</t>
  </si>
  <si>
    <t>ROS 27.02.2013: nur das "evtl." ist der Unterschied. Ich mag kein "maybe" einfügen, lieber kurz bleiben.</t>
  </si>
  <si>
    <t>119</t>
  </si>
  <si>
    <t>CD9 "third hour meeting" verstehe ich, aber ist dies ein gebräuchlicher englischer Begriff? Nicht in Leo etc, aber  ca. 20.000 mal in Google.</t>
  </si>
  <si>
    <t>ROS 27.02.2013: Begriff in der Reviewtechnik geläufig, wird im Buch ausgeführt.</t>
  </si>
  <si>
    <t>120</t>
  </si>
  <si>
    <t>A34: "Send Findings until " --&gt; "Send Findings by"</t>
  </si>
  <si>
    <t>ROS 27.02.2013: unsere Englischprüfer haben "until" durchgehen lassen. Halte für dt. Leser "until" besser als "by".</t>
  </si>
  <si>
    <t>121</t>
  </si>
  <si>
    <t>C35/36: "NLOC" und "NLOC/h": sollten diese Abkürzungen im Template erklärt werden?</t>
  </si>
  <si>
    <t>ROS 27.02.2013: nur im Buch</t>
  </si>
  <si>
    <t>122</t>
  </si>
  <si>
    <t>Unsere Einladung  (s.u.) enthält die Spalten  H...J nicht</t>
  </si>
  <si>
    <t>ROS 27.02.2013: ok (kein Fehler bei uns, der behoben werden müsste)</t>
  </si>
  <si>
    <t>123</t>
  </si>
  <si>
    <t>Unser Report enthält noch weitere Spalten:
"Severity after Review". Vielleicht hat sich der Reviewer geirrt?</t>
  </si>
  <si>
    <t>ROS 27.02.2013: bei uns wird die Severity des Reviewers umgekippt, wollen keine extra Spalte spendieren.</t>
  </si>
  <si>
    <t>124</t>
  </si>
  <si>
    <t>Falls der Beitrag nicht im Rahmen des Reviews gelöst werden kann (z.B. Prozess),
  so gibt es noch eine Spalte, um die Nummer der Fehler im Fehler-Verfolgungssystems einzutragen.</t>
  </si>
  <si>
    <t>ROS 28.02.2013: deckt postponed ("monitored in another list") ab.</t>
  </si>
  <si>
    <t>125</t>
  </si>
  <si>
    <t>Die Tabelle ab J4 kann hilfreich sein, geht aber, soweit ich gesehen habe, nirgends in das Ergebnis ein (zumindest die Summe, O6 sehr wohl)</t>
  </si>
  <si>
    <t>Dup. zu 108</t>
  </si>
  <si>
    <t>126</t>
  </si>
  <si>
    <t>Es gibt 47 Rückmeldungen, Total (B29) nennt aber nur 43! Ursache ???</t>
  </si>
  <si>
    <t xml:space="preserve">ROS 27.02.2013: kein Fehler, siehe Kommentar B22 ("Duplicates and rejected findings not counted") </t>
  </si>
  <si>
    <t>127</t>
  </si>
  <si>
    <t>H61: Abkürzung "ROI" erklären ?</t>
  </si>
  <si>
    <t>128</t>
  </si>
  <si>
    <t>Daher ist eine Angabe, wie die Referenz in der Rückmeldung ausgefüllt werden soll SEHR wichtig. LOF ist noch etwas schwach:              Für Dokumente: Bei uns Kapitel und Seitennummer (und hier muss dies klar definiert sein, sonst gibt es Probleme beim sortieren). Oder gilt hier auch Ihre Forderung alle Reviewobjekte müssen über eine Zeilennummerierung verfügen? Das ist leider nicht immer möglich.</t>
  </si>
  <si>
    <t>ROS 27.02.2013: Befund berechtigt, aber wir wollten mit den Spalten knausern.</t>
  </si>
  <si>
    <t>129</t>
  </si>
  <si>
    <t>Abbrev. für Autor wird oft auch gebraucht, evtl. auch Abbrev. für Moderator. (Leider sieht es gestalterisch nicht gut aus, die Felder C7 und C8 wie die anderen Abbreviation-Felder zu rahmen)</t>
  </si>
  <si>
    <t>ros 28.02.2013</t>
  </si>
  <si>
    <t>130</t>
  </si>
  <si>
    <t>Auf Buch verweisen: Reviews in der System- und Softwareentwicklung – Grundlagen, Praxis, kontinuierliche Verbesserung (Rösler, Schlich, Kneuper, 2013). Evtl. auch im DS ("For a description of the method see www.reviewtechnik.de/SW-QS-Tag-2010_Stichproben-Reviews_Roesler_Schlich_v1.5_pub.ppt, slides 47-50 (German only)")</t>
  </si>
  <si>
    <t>ros 05.03.2013</t>
  </si>
  <si>
    <t>131</t>
  </si>
  <si>
    <t>In Template Maintenance Notes erwähnen, dass absichtlich keine Makros verwendet wurden.</t>
  </si>
  <si>
    <t>ros 09.03.2013</t>
  </si>
  <si>
    <t>132</t>
  </si>
  <si>
    <t>Kommentare werden beim Öffnen manchmal an unerwarteten Positionen gezeigt (je nachdem ob oberhalb Zeilen gruppiert wurden). Vermutlich kann es gelöst werden mit Kommentar formatieren-&gt;Eigenschaften.</t>
  </si>
  <si>
    <t>ROS 09.03.2013: solved for README, MP, LoF, DS, RR</t>
  </si>
  <si>
    <t>133</t>
  </si>
  <si>
    <t>Kommentare in LoF (Severity, Status, In Charge) werden (vermutlich wegen fixiertem Bildschirm) nicht komplett angezeigt, wenn man schon runtergescrollt hat.</t>
  </si>
  <si>
    <t>ROS 09.03.2013:  Google "Kommentar wird bei Fixierung abgeschnitten": vermutlich ist einzige brauchbare Lösung, die Kommentare so niedrig halten, dass sie komplett in den oberen Bereich passen. Solved für Severity, genug gesolved für Status, für In Charge ist es eher egal.</t>
  </si>
  <si>
    <t>134</t>
  </si>
  <si>
    <t>Habe einen Moderator beobachtet, wie er den Status "open" wieder zu "leer" zurücksetzen wollte und in der Drop Down Box keinen leeren Eintrag fand. Die Löschentaste macht das zwar, war aber wohl nicht naheliegend. Effekt gilt evtl. auf für andere Drop Down Boxen</t>
  </si>
  <si>
    <t>ros 12.03.2013</t>
  </si>
  <si>
    <t>135</t>
  </si>
  <si>
    <t>In .._filled.xlsx den Kommentar zu Doubletten ändern: nicht "doppelt zu No. 34" und "doppelt zu No. 33" sondern "D2" und "D2". Das macht die Fischteichmethode leichter anwendbar.</t>
  </si>
  <si>
    <t>ros 01.11.2013</t>
  </si>
  <si>
    <t>136</t>
  </si>
  <si>
    <t xml:space="preserve">Feld ergänzen für: Zieldatum für "Follow-Up by"  oder Reinspektion </t>
  </si>
  <si>
    <t>SCL 26.03.2014</t>
  </si>
  <si>
    <t>137</t>
  </si>
  <si>
    <t>Laufende Nummer muss manuell angefasst werden, warum nicht als Formel?</t>
  </si>
  <si>
    <t xml:space="preserve">ROS: Die derzeit fest verdrahtete No. hat den Vorteil, dass man die Ursprungssortierung der Zeilen wieder herstellen kann, wenn man sie verändert hat (z.B. durch Dropdown-Menü "von A-Z sortieren" in einer anderen Spalte). </t>
  </si>
  <si>
    <t>138</t>
  </si>
  <si>
    <t>Beim Mergen der Daten (kopieren von Befunden eines anderen Reviewers in die Haupt-LoF-Liste) kommt eine Excelfehlermeldung ("Name "Reviewer_abbreviations" ist bereits vorhanden"). Besteht die Möglichkeit, diese zu unterdrücken?</t>
  </si>
  <si>
    <t>139</t>
  </si>
  <si>
    <t>A10 "planned publication date: autumn 2013"</t>
  </si>
  <si>
    <t>MSC 04.04.2014</t>
  </si>
  <si>
    <t>140</t>
  </si>
  <si>
    <t>E.g. inspection or quality assurance handbook of company --&gt; Vor allem Qualitätsmanagement-Handbuch, Review-Leitlinien oder andere übergeordnete Dokumente des Unternehmens</t>
  </si>
  <si>
    <r>
      <rPr>
        <sz val="10"/>
        <rFont val="Arial"/>
        <family val="2"/>
        <charset val="1"/>
      </rPr>
      <t xml:space="preserve">Ab hier folgen alle freier übersetzten Stellen als Maintenance mit Status </t>
    </r>
    <r>
      <rPr>
        <i/>
        <sz val="10"/>
        <rFont val="Arial"/>
        <family val="2"/>
        <charset val="1"/>
      </rPr>
      <t>Solved</t>
    </r>
    <r>
      <rPr>
        <sz val="10"/>
        <rFont val="Arial"/>
        <family val="2"/>
        <charset val="1"/>
      </rPr>
      <t xml:space="preserve"> und In Charge / Date / … = </t>
    </r>
    <r>
      <rPr>
        <i/>
        <sz val="10"/>
        <rFont val="Arial"/>
        <family val="2"/>
        <charset val="1"/>
      </rPr>
      <t>changed, please check</t>
    </r>
  </si>
  <si>
    <t>changed, please check</t>
  </si>
  <si>
    <t>141</t>
  </si>
  <si>
    <t>Based on book "Software Inspection" (Gilb &amp; Graham, 1993)
German description of the generic review process and other parts of the template:
Book "Reviews in der System- und Softwareentwicklung – Grundlagen, Praxis, kontinuierliche Verbesserung" (Rösler, Schlich, Kneuper), planned publication date: autumn 2013 --&gt; Ausführliche Beschreibung des Reviewprozesses und des Templates: "Reviews in der System- und Softwareentwicklung – Grundlagen, Praxis, kontinuierliche Verbesserung"; Rösler, Schlich, Kneuper;  August 2013</t>
  </si>
  <si>
    <t>Ich finde, dass wir nicht mehr auf Gilb verweisen sollten - schließlich haben wir jetzt ein eigenes Buch.</t>
  </si>
  <si>
    <t>142</t>
  </si>
  <si>
    <t xml:space="preserve">Alle Phasen 1:1 von unserer Website genommen. Und jeweils mit einem Satz in Bezug auf das Template ergänzt (wo sonst keiner war). </t>
  </si>
  <si>
    <t>Besser nur ein Text, den wir warten müssen :-) Daher: auch auf unserer Website den zusätzlichen Satz ergänzen.</t>
  </si>
  <si>
    <t>143</t>
  </si>
  <si>
    <t>The following lines are not to be filled out by moderators or reviewers --&gt; Die folgenden Zeilen sind nur für die Wartung der Dokumentvorlage bestimmt und nicht von Moderator oder Reviewern auszufüllen.</t>
  </si>
  <si>
    <t>Etwas ausführlicher, damit es klarer wird. Vorschlag auch in engl. Version machen: "The following lines are for the purpose of maintenance only and not to be filled out by moderators nor reviewers.</t>
  </si>
  <si>
    <t>144</t>
  </si>
  <si>
    <t>Copyright © 2011-2013 by ReviewConsult. Permission is granted to use, modify (including replacing the ReviewConsult logo by another logo), and distribute this template, as long as this copyright notice and the oldest history of change line (date 2011-12-13) remain part of the template. --&gt; Copyright © 2011-2014 by ReviewConsult. Permission is granted to use, modify (including replacing the ReviewConsult logo by another logo), and distribute this template, as long as this copyright notice and the oldest history of change line (date 2011-12-13) remain part of the template.</t>
  </si>
  <si>
    <t xml:space="preserve">1) 2014 geändert
2) Statt einer Übersetzung: unter Common License stellen. </t>
  </si>
  <si>
    <t>145</t>
  </si>
  <si>
    <t>Some formulas in this template use names like "Size_of_Review_Object".
To find out in which cells these names are defined, please use menu Insert -&gt; Name -&gt; Define.
The name "Reviewer_abbreviations" is intentionally defined for the first eight reviewers only, sparing the users of the template the trouble of scrolling too much in the drop-down list in column "Input from" (sheet "LoF"). 
--&gt; 
Manche Formeln verwenden Namen wie "Size_of_Review_Object".
Mit Formeln - Namens-Manager kann man herausfinden, in welchen Feldern die  Namen definiert sind.
Der Name "Reviewer_abbreviations" ist absichtlich nur auf die ersten 8 Reviewer definiert, damit der Benutzer in Spalte "Input von" (in Blatt "LoF") in der Auswahlliste nicht ständig nach oben scrollen muss.</t>
  </si>
  <si>
    <t>np:       net pages. 1 np = 300 "non-commentary" words,
            1 np = 1 page of diagrams
pp:       print pages
NLOC:  non-commentary lines of code
LOC:    lines of code 
--&gt;
np:       net pages / Nettoseiten.
            1 np = 300 "non-commentary" Wörter,
            1 np = 1 Seite mit Diagrammen
pp:       print pages / Gedruckte Seiten
NLOC:  non-commentary lines of code / Codezeilen ohne 
           Kommentare
LOC:    lines of code / Codezeilen</t>
  </si>
  <si>
    <t>"non-commentary" evtl. einfach streichen? Auch in en?</t>
  </si>
  <si>
    <t>Drop down lists can be defined by menue Data -&gt; Validation (German: "Gültigkeit").
In tab „ error message“ it can be configured, whether only the values of the drop down list are allowed or as well different manual entries. "Ignore empty cells" might be deactivated.
--&gt;
Auswahlfelder werden so definiert:
Menü Daten -&gt; Gültigkeit
Im Reiter "Fehlermeldung" kann konfiguriert werden, ob nur die Werte aus der Auswahlliste oder auch abweichende manuelle Einträge erlaubt sind. "Leere Zellen ignorieren" muss dazu ggf. deaktiviert werden.</t>
  </si>
  <si>
    <r>
      <rPr>
        <sz val="10"/>
        <rFont val="Arial"/>
        <family val="2"/>
        <charset val="1"/>
      </rPr>
      <t xml:space="preserve">To set the color of cells depending on the cell content please use menue Format -&gt; Conditional Formatting. 
--&gt;
Felder einfärben abhängig vom Inhalt mit </t>
    </r>
    <r>
      <rPr>
        <i/>
        <sz val="10"/>
        <rFont val="Arial"/>
        <family val="2"/>
        <charset val="1"/>
      </rPr>
      <t>Bedingte Formatierung</t>
    </r>
  </si>
  <si>
    <r>
      <rPr>
        <sz val="10"/>
        <rFont val="Arial"/>
        <family val="2"/>
        <charset val="1"/>
      </rPr>
      <t xml:space="preserve">Der Hinweis auf das Menü gilt nur für Excel 2003 - ist nun allgemeingültiger.
Vorschlag für en: To set the color of cells depending on the cell content please use menue Format -&gt; Conditional Formatting.
--&gt;
To set the color of cells depending on the cell content please use </t>
    </r>
    <r>
      <rPr>
        <i/>
        <sz val="10"/>
        <rFont val="Arial"/>
        <family val="2"/>
        <charset val="1"/>
      </rPr>
      <t>Conditional Formatting</t>
    </r>
    <r>
      <rPr>
        <sz val="10"/>
        <rFont val="Arial"/>
        <family val="2"/>
        <charset val="1"/>
      </rPr>
      <t xml:space="preserve">.
Kursivschreibung von Excel-Menüpunkten/-befehlen </t>
    </r>
  </si>
  <si>
    <t>Design decision (2011-12-13 P. Rösler):
The template does not use macros to make it easier for the users to understand the functioning of the template.
Note: some of the "Restrictions &amp; Known Bugs" can only be cured by use of macros. 
--&gt;
Designentscheidung (2011-12-13 P. Rösler):
Diese Vorlage nutzt keine Makros, um die Verständlichkeit für die Nutzer zu erleichtern.
Hinweis: Einige der "Einschränkungen &amp; Bekannten Probleme" können nur über Makros gelöst werden.</t>
  </si>
  <si>
    <r>
      <rPr>
        <sz val="10"/>
        <rFont val="Arial"/>
        <family val="2"/>
        <charset val="1"/>
      </rPr>
      <t xml:space="preserve">To activate AutoFilter:
Please select the desired range of title cells  (e.g. "No." to "In  Charge" in sheet "LoF") and use menue Data -&gt; Filter -&gt; AutoFilter.
--&gt;
Automatische Filterung mit </t>
    </r>
    <r>
      <rPr>
        <i/>
        <sz val="10"/>
        <rFont val="Arial"/>
        <family val="2"/>
        <charset val="1"/>
      </rPr>
      <t>Daten - Filter</t>
    </r>
    <r>
      <rPr>
        <sz val="10"/>
        <rFont val="Arial"/>
        <family val="2"/>
        <charset val="1"/>
      </rPr>
      <t xml:space="preserve"> ein-/ausschalten</t>
    </r>
  </si>
  <si>
    <r>
      <rPr>
        <sz val="10"/>
        <rFont val="Arial"/>
        <family val="2"/>
        <charset val="1"/>
      </rPr>
      <t xml:space="preserve">Vorschlag für en: "To activate AutoFilter: menue </t>
    </r>
    <r>
      <rPr>
        <i/>
        <sz val="10"/>
        <rFont val="Arial"/>
        <family val="2"/>
        <charset val="1"/>
      </rPr>
      <t>Data -&gt; Filter</t>
    </r>
  </si>
  <si>
    <t>Please click on the "+" symbol to open the hidden line(s). 
--&gt; 
Bitte auf "+"-Symbol klicken, um die versteckten Zeilen zu sehen.</t>
  </si>
  <si>
    <t>152</t>
  </si>
  <si>
    <r>
      <rPr>
        <sz val="10"/>
        <rFont val="Arial"/>
        <family val="2"/>
        <charset val="1"/>
      </rPr>
      <t xml:space="preserve">The grey gridlines can be activated in a sheet by menue Tools (German: "Extras") -&gt; Options -&gt; View -&gt; Gridlines.
--&gt;
Graue Gitternetzlinien über </t>
    </r>
    <r>
      <rPr>
        <i/>
        <sz val="10"/>
        <rFont val="Arial"/>
        <family val="2"/>
        <charset val="1"/>
      </rPr>
      <t>Seitenlayout - Gitternetzlinien</t>
    </r>
    <r>
      <rPr>
        <sz val="10"/>
        <rFont val="Arial"/>
        <family val="2"/>
        <charset val="1"/>
      </rPr>
      <t xml:space="preserve"> ein-/ausschalten</t>
    </r>
  </si>
  <si>
    <r>
      <rPr>
        <sz val="10"/>
        <rFont val="Arial"/>
        <family val="2"/>
        <charset val="1"/>
      </rPr>
      <t xml:space="preserve">Vorschlag für en: "To activate grey gridlines use </t>
    </r>
    <r>
      <rPr>
        <i/>
        <sz val="10"/>
        <rFont val="Arial"/>
        <family val="2"/>
        <charset val="1"/>
      </rPr>
      <t xml:space="preserve">Pagelayout - Gridlines
</t>
    </r>
    <r>
      <rPr>
        <sz val="10"/>
        <rFont val="Arial"/>
        <family val="2"/>
        <charset val="1"/>
      </rPr>
      <t>(gleiche Grammatik mit "to activate" statt "can be activated" und allgemeiner bzgl. Excel-Version)</t>
    </r>
  </si>
  <si>
    <t>Maintenance notes for excel beginners
(Menue names from MS Excel 2003)
To read the comments in the cells, please point the mouse cursor at the cell, but avoid pointing at the picture in the cell. 
--&gt;
Hinweise zur Wartung und zu Excel (Version 2010)
Um die Kommentare in den Zellen zu lesen, bitte möglichst nicht die Bilder anklicken, sondern nur den Mauscursor auf die Zelle bewegen.</t>
  </si>
  <si>
    <t>154</t>
  </si>
  <si>
    <r>
      <rPr>
        <sz val="10"/>
        <rFont val="Arial"/>
        <family val="2"/>
        <charset val="1"/>
      </rPr>
      <t xml:space="preserve">The hidden sheet "Maintenance" can be used to note and monitor planned template changes.
Please use menue Format -&gt; Sheet -&gt; Unhide to display this sheet.
--&gt;
Das versteckte Blatt "Maintenance" wird für die Planung und Dokumentation von Änderungen an der Vorlage verwendet.
Mit einem Klick auf einen Tabellenblatt-Namen und </t>
    </r>
    <r>
      <rPr>
        <i/>
        <sz val="10"/>
        <rFont val="Arial"/>
        <family val="2"/>
        <charset val="1"/>
      </rPr>
      <t>Einblenden...</t>
    </r>
    <r>
      <rPr>
        <sz val="10"/>
        <rFont val="Arial"/>
        <family val="2"/>
        <charset val="1"/>
      </rPr>
      <t xml:space="preserve"> kann es sichtbar gemacht werden.
</t>
    </r>
  </si>
  <si>
    <t>155</t>
  </si>
  <si>
    <t>3 of the excel standard colors were changed in this template by menue Tools (German: "Extras") -&gt; Options -&gt; Color:
Dark Yellow (German: "Dunkelgelb") to 201, 201, 201 (used for cell borders)
Lime ("Gelbgrün")                              to 222, 235, 205 (used for title cells)
Light Turqoise ("Helltürkis")               to 213, 245, 251 (used for calculated cells)
 --&gt;
3 Standardfarben von Excel wurden wie folgt geändert:
Dunkelgelb auf 201, 201, 201 (für Zellenränder)
Gelbgrün   auf 222, 235, 205 (für Zellentitel)
Helltürkis   auf 213, 245, 251 (für berechnete Zellen)</t>
  </si>
  <si>
    <t>156</t>
  </si>
  <si>
    <t>Bei den Kennzahlen F5-H5 müsste die Einheit eigentlich Ph (Personenstunden) und nicht h (Stunden) lauten.</t>
  </si>
  <si>
    <t>t.b. discussed</t>
  </si>
  <si>
    <t>157</t>
  </si>
  <si>
    <t>Usually not filled by moderator, will be filled by quality manager when the Data Summary is imported into the review database.
--&gt;
Normalerweise nicht durch den Moderator auszufüllen,sondern meist durch den Qualitätsmanager, wenn die Datenzusammenfassung in die Reviewdatenbank importiert wurde.</t>
  </si>
  <si>
    <t>158</t>
  </si>
  <si>
    <t>Insert more lines if necessary --&gt; Falls nötig, weitere Zeilen einfügen</t>
  </si>
  <si>
    <t>159</t>
  </si>
  <si>
    <t>Reference Documents are the documents, to which the Review Objects have to be consistent.
Insert more lines if necessary 
--&gt; 
Referenzdokumente sind die Dokumente zu denen das Reviewobjekt konsistent sein muss
Falls nötig, weitere Zeilen einfügen</t>
  </si>
  <si>
    <t>160</t>
  </si>
  <si>
    <t>Checklists and scenarios are auxiliary documents, which help the reviewers find more defects.
Insert more lines if necessary 
--&gt; 
Checklisten und Szenarien sind Hilfsdokumente, die den Reviewern helfen, mehr Befunde zu entdecken.
Falls nötig, weitere Zeilen einfügen</t>
  </si>
  <si>
    <t>161</t>
  </si>
  <si>
    <t>Abbreviations to reduce the typing effort in the List of Findings
--&gt;
Abkürzungen reduzieren den Tipp-Aufwand in der Befundliste (LoF)</t>
  </si>
  <si>
    <t>162</t>
  </si>
  <si>
    <t>Abbreviations to be used in the List of Findings, column "Input from"
The abbreviations need not to be identical to the phone directory.
--&gt;
Namenskürzel werden in der Befundliste (LoF) in der Spalte "Input von" genutzt.
Es können - müssen aber nicht - die Kürzel aus z.B. dem Telefonverzeichnis genutzt werden.</t>
  </si>
  <si>
    <t>Vorschlag für en: 
"Signatures are used in the List of Findings, column "Input from"
The may, but needn't, be taken from e.g. the phone directory.
"
Außerdem: Zelle mit Sig beschriften.</t>
  </si>
  <si>
    <t>163</t>
  </si>
  <si>
    <t>Number of pages or lines to be reviewed (this may differ from the overall size of the review objects)
--&gt;
Anzahl der Seiten oder Zeilen, die gereviewt werden (kann von der Größe des gesamten Reviewobjektes abweichen).</t>
  </si>
  <si>
    <t>"</t>
  </si>
  <si>
    <t>164</t>
  </si>
  <si>
    <t>The optimum checking rate indicates how may pages or lines a typical reviewer can check in an hour.
Benchmark data for code: 100-150 NLOC / h
Benchmark data for text documents:
- 1 to max. 2 np/h (Gilb &amp; Graham 1993)
- 2 to 3 pp/h for architecture and requirement documents (IEEE Std 1028-2008)
(These data are counterintuitive, engineers would rather guess 5 to 10 pages per hour.)
--&gt;
Die optimale Prüfrate indiziert, wie viele Seiten oder Codezeilen ein typischer Prüfer in einer Stunde prüfen kann.
Bezugsgröße für Code: 100-150 NLOC / h
Bezugsgröße für Textdokumente
- 1 bis max. 2 np/h (Gilb &amp; Graham 1993)
- 2 bis 3 pp/h für Architektur- und Anforderungsdokumente (IEEE Std 1028-2008)
(Diese Daten sind nicht eingängig, Entwickler würden 5- bis 10 Seiten pro Stunden annehmen.)</t>
  </si>
  <si>
    <t>165</t>
  </si>
  <si>
    <t>Optimum checking time for a typical reviewer
--&gt;
Optimale Prüfzeit für einen typischen Reviewer</t>
  </si>
  <si>
    <t>166</t>
  </si>
  <si>
    <t>This has to be filled out by the reviewers during the individual checking
--&gt;
Wird von den Reviewern während der Individuellen Vorbereitung ausgefüllt.</t>
  </si>
  <si>
    <t>Vorschlag für en: "
This will be filled out by the reviewers during the individual checking"
(has to be) ist vielleicht zu "streng".</t>
  </si>
  <si>
    <t>167</t>
  </si>
  <si>
    <t>This has to be filled out during the review meeting, rework and follow-up.
--&gt;
Wird während der Reviewsitzung, der Überarbeitung und dem Follow-up ausgefüllt.</t>
  </si>
  <si>
    <t>168</t>
  </si>
  <si>
    <t>Please use the abbreviations for the review objects.
--&gt;
Bitte die Abkürzungen für Reviewojekte nutzen.</t>
  </si>
  <si>
    <t>169</t>
  </si>
  <si>
    <t xml:space="preserve">The moderator may determine, how the location of a finding has to be specified.
E.g. 023-026 if the finding refers to lines 23 to 26; p41 for page 41; 4.1.2 for chapter 4.1.2 
If the finding occurs more than once in the review object (and it is too time-consuming to specify all locations), the wording "etc." or "ff." can be used.
E.g. 023 etc.
--&gt;
Der Moderatur kann vorgeben, wie ein Fundort spezifiziert werden kann.
Z.B.: 023-026 wenn der Befund sich auf die Zeilen 23 to 26 bezieht; p41 für Seite 41; 4.1.2 für Kapitel 4.1.2, 
Tritt der Befund mehr als einmal im Prüfobjekt auf (und es ist zu zeitaufwändig den Fundort zu spezifizieren), können die Begriffe "und andere" benutzt werden. Bsp.: 023 und andere.
</t>
  </si>
  <si>
    <t>170</t>
  </si>
  <si>
    <t>If the finding was discovered via a checklist question or a scenario, please fill in the identification of this checklist question or scenario. 
--&gt;
Wurde der Befund durch die Verwendung einer Checkliste oder eines Szenarios entdeckt, bitte die Referenz auf die Checklistenfrage oder auf das Szenario angeben.</t>
  </si>
  <si>
    <t>171</t>
  </si>
  <si>
    <t>Please use the abbreviations for the reviewer names.
If the finding was discovered in the review meeting, please enter "all".
--&gt;
Bitte das Namenskürzel des Reviewers angeben (siehe MasterPlan).
Ist der Befund während der Reviewsitzung entdeckt worden, bitte "alle" eintragen.</t>
  </si>
  <si>
    <t>Vorschlag für en: "
Please use the signatures for the reviewer names (see MasterPlan).
If the finding was discovered in the review meeting, please enter "all".
"</t>
  </si>
  <si>
    <t>172</t>
  </si>
  <si>
    <t>Major:   Defect, which possibly causes substantially higher costs, if it is found later in the development process.
minor:   Defect, which is not classified as a Major.
?:          Question or the reviewer is very unsure whether the finding is a defect or a false alarm.
note:    Reviewer note which needs no author action.
-:          Used if Major, minor, ? and note are not appropriate (e.g. process improvement)
--&gt;
Major:  Fehler, der möglicherweise substantiell höhere Kosten verursacht, sofern er später im Entwicklungsprozess gefunden wird           
minor:   Fehler, der nicht als "Major" klassifiziert ist.
?:         Frage des Prüfers. (Unsicher ob Befund ein Fehler oder ein Fehlalarm ist)         
note:    Anmerkung des Prüfers, die keine Aktion des Autors zur Folge hat
-:         Nutzen, wenn Major, minor, ? and note nicht zutreffen z.B. Prozessverbesserung</t>
  </si>
  <si>
    <t>173</t>
  </si>
  <si>
    <t>Meeting Comment / Action Item / Author Note (Resolution / Reason for Rejection, etc.)
Field only filled if necessary
--&gt;
Kommentar aus Reviewsitzung / To Do / Anmerkung des Autors (Lösungsweg / Begründung für Zurückweisung / etc.)
Feld wird nur gefüllt, falls nötig</t>
  </si>
  <si>
    <t>174</t>
  </si>
  <si>
    <t>Open:          The finding is valid and the author will deal with it in rework.
Solved:        The finding was solved (or no action was necessary).
Rejected:    The finding is rejected (false alarm).
Postponed:  The finding is valid but is postponed (and monitored in another list).
Duplicate:    The finding is the same as another finding. (This other finding is not marked as "Duplicate".)
Note: exit criterion for rework: no "open" findings
--&gt;
Offen:         Der Befund ist valide und der Autor wird ihn in der Überarbeitung behandeln
Behoben:        Der Befund ist behoben oder es war keine Aktion nötig.
Abgelehnt: Der Befund wird vom Autor zurückgewiesen (Fehlalarm).
Zurückgestellt:  Der Befund ist gültig aber zurückgestellt (und wird über eine andere Liste verfolgt).
Duplikat:   Bereits in der Liste enthaltener Befund. (Dieser andere Befund wird nicht mit "Duplikat" gekennzeichnet.)        
Hinweis: Ausgangskriterien für Nacharbeit: keine Befunde mit Status "offen"</t>
  </si>
  <si>
    <t>175</t>
  </si>
  <si>
    <t>Column for free use (please adjust the column for your special needs). Examples for use cases:
- In preparation for the review meeting, the author can mark those findings with "Meeting", for which he/she needs a clarification or discussion. 
- In Follow-Up a reviewer can mark a finding with "t.b. re-discussed", if he/she does not agree with the author's solution.
--&gt;
Spalte zur freien Benutzung (bitte passen Sie diese an Ihre Bedürfnisse an). Beispiel für Anwendungsfälle:
- In der Vorbereitung der Reviewsitzung kann der Autor die Befunde mit "Meeting" markieren, für die er eine Erläuterung benötigt oder die er diskutieren will.
- Im Follow-up kann ein Reviewer Befunde mit "Erneut diskutieren" markieren, wenn er nicht mit der Lösung des Autors einverstanden ist.</t>
  </si>
  <si>
    <t>176</t>
  </si>
  <si>
    <r>
      <rPr>
        <sz val="10"/>
        <rFont val="Arial"/>
        <family val="2"/>
        <charset val="1"/>
      </rPr>
      <t xml:space="preserve">Effort for Individual Checking
Will be provided by the reviewers after individual checking. Accuracy +-10% is good enough.
The privacy policy of your company may require, that individual checking times are not electronically stored and processed. In this case you as a moderator could gather the individual checking times orally and enter the sum of the checking times (in the "Total" line) manually.
--&gt;
Aufwand für Individuelle Vorbereitung
Wird von den Reviewern nach der Individuellen Vorbereitung zur Verfügung gestellt. Eine Genauigkeit von </t>
    </r>
    <r>
      <rPr>
        <sz val="10"/>
        <rFont val="Calibri"/>
        <family val="2"/>
        <charset val="1"/>
      </rPr>
      <t>±</t>
    </r>
    <r>
      <rPr>
        <sz val="10"/>
        <rFont val="Arial"/>
        <family val="2"/>
        <charset val="1"/>
      </rPr>
      <t>10% ist ausreichend.
Die Datenschutzrichtlinien Ihres Unternehmens verbieten eventuell die elektronische Erfassung und Speicherung persönlicher Zeiten. In diesem Fall kann der Moderator die Zeiten mündlich erfragen und als Summe (in der Zeile "Summe") eintragen.</t>
    </r>
  </si>
  <si>
    <t>Vorschlag für en: "
Will be provided by the reviewers after individual checking. Accuracy ±10% is sufficient.
"</t>
  </si>
  <si>
    <t>177</t>
  </si>
  <si>
    <t>Effort for Planning / Kickoff / Follow-Up / etc.
Will be provided by the participants.
Not included are times for the Review Meeting, checking times and the author's rework time.
--&gt;
Aufwand für Planung / Kick-off / Follow-up / usw.
Wird von den Teilnehmenden zur Verfügung gestellt.
Nicht enthalten sind die Zeiten für Reviewsitzung, Individuelle Vorbereitung und Überarbeitungen durch den Autor.</t>
  </si>
  <si>
    <t>178</t>
  </si>
  <si>
    <t>Actual duration of review meeting
--&gt;
Tatsächliche Dauer der Reviewsitzung</t>
  </si>
  <si>
    <t>179</t>
  </si>
  <si>
    <t>No. of review meeting participants
--&gt;
Anzahl der Teilnehmer der Reviewsitzung</t>
  </si>
  <si>
    <t>180</t>
  </si>
  <si>
    <t xml:space="preserve">How many hours did the author spend on correcting the findings.
If you don't want to wait until author's rework is done, please enter an estimated value.
--&gt;
Aufwand der Überarbeitung durch den Aufwand
Wenn Sie nicht warten wollen, bis die Befunde korrigiert sind, tragen Sie einen Schätzwert ein.
</t>
  </si>
  <si>
    <t>Vorschlag für en: "
Effort for author's rework.
If you don't want to wait until the author corrected the findings, please enter an estimated value.
"
Grund: einheitliche Form / Grammatik in allen Kommentaren</t>
  </si>
  <si>
    <t>181</t>
  </si>
  <si>
    <t>These cells do not effect other cells in the template. Calculated results have to be transferred manually.
Typical use case for these cells:
A reviewer fills in the start and end time for checking and possible break times. The effort in hours (in decimal format) can now be entered into the "Checking Times" in column B.
--&gt;
Diese Zellen haben keine Auswirkungen auf die anderen Zellen der Vorlagen. Errechnete Ergebnisse müssen von Hand übertragen werden.
Typische Nutzung für diese Zellen:
Ein Reviewer füllt Start- und Endezeit für die Individuelle Vorbereitung aus und gegebenenfalls Pausenzeiten. Der Aufwand in Stunden (im Dezimalformat) kann nun in die Spalte "Lesezeiten (h)" (Spalte B) übertragen werden.</t>
  </si>
  <si>
    <t>182</t>
  </si>
  <si>
    <t>Format hh:mm
Shortcut Strg+Shift+"."
--&gt;
Format hh:mm
Tastenkürzel Strg+Shift+"."
(Kommentar bei von und bei bis)</t>
  </si>
  <si>
    <t>183</t>
  </si>
  <si>
    <t>No. of participants
--&gt;
Anzahl Teilnehmer</t>
  </si>
  <si>
    <t>184</t>
  </si>
  <si>
    <t>Duplicates and rejected findings not counted
--&gt;
Duplikate und Abgelehnte Befunde nicht mitgezählt</t>
  </si>
  <si>
    <t>185</t>
  </si>
  <si>
    <t>see Master Plan
--&gt;
siehe Masterplan</t>
  </si>
  <si>
    <t>186</t>
  </si>
  <si>
    <t>Benchmark data: 1 Major / h
("Software Inspection" 1993, p315, MEL inspection data)
--&gt;
Benchmark Daten: 1 Major / h
("Software Inspection" 1993, p315, MEL inspection data)</t>
  </si>
  <si>
    <t>187</t>
  </si>
  <si>
    <t>Duplicates and rejected findings included
--&gt;
Duplikate und Abgelehnte Befund wurden mitgezählt</t>
  </si>
  <si>
    <t>188</t>
  </si>
  <si>
    <t>For a description of the method see book "Reviews in der System- und Softwareentwicklung – Grundlagen, Praxis, kontinuierliche Verbesserung"  (in German). For a description of a similar estimation method see www.reviewtechnik.de/SW-QS-Tag-2010_Stichproben-Reviews_Roesler_Schlich_v1.5_pub.ppt, slides 38-45 (in German)
--&gt;
Eine Beschreibung der Methode finden Sie im Buch "Reviews in der System- und Softwareentwicklung – Grundlagen, Praxis, kontinuierliche Verbesserung". Eine Beschreibung einer ähnlichen Schätzung finden Sie unter reviewtechnik.de/SW-QS-Tag-2010_Stichproben-Reviews_Roesler_Schlich_v1.5_pub.ppt, Folien 38-45</t>
  </si>
  <si>
    <t>Auch unsere gemeinsamen Vorträge sollten auf der ReviewConsult-Seite abgelegt werden. Auch ich habe den Vortrag auf meiner Website und fände es besser, wir verweisen auf unsere gemeinsame und nicht auf eine persönliche.</t>
  </si>
  <si>
    <t>189</t>
  </si>
  <si>
    <t xml:space="preserve">Rule of thumb for achievable effectiveness: 50%. About 50% of the Major defects in the document will be found by the review team, if the optimum inspection rate is obeyed.
The rule of thumb can be fine tuned, if you consider the maturity level of your review process or of your development process.
Fagan, sd&amp;m-Conference  2001: “When people implement inspections right away they might find 50 or 60% of all the operational defects. ... When you refine the inspection process that you dealing with, ..., they find between 75 and 85% of all operational defects before any testing. Some of them are finding more than 90% if they are exceptional cases.”
www.gilb.com (Forum, as of 23.09.2005), Topic “Insp., Qual. Control”, Thread “Completeness of candidate doc.”, Posting Kai Gilb 17.09.2004: “We have found Inspection to operate in the area of about 3% (the normal for inspections not optimized with optimal checking rates etc.) to about 88%.”
--&gt;
Pi-mal-Daumen Regel für erreichbare Effektivität: 50%. Etwa 50% der Major klassifizierten Befunde im Dokument werden durch das Reviewteam gefunden, falls die optimale Leserate berücksichtigt wird.
Diese Pi-mal-Daumen Regel kann justiert werden, wenn Sie den Reifegrad Ihres Reviewprozesses oder Ihres Entwicklungsprozesses berücksichtigen.
Fagan, sd&amp;m-Conference  2001: “When people implement inspections right away they might find 50 or 60% of all the operational defects. ... When you refine the inspection process that you dealing with, ..., they find between 75 and 85% of all operational defects before any testing. Some of them are finding more than 90% if they are exceptional cases.”
www.gilb.com (Forum, as of 23.09.2005), Topic “Insp., Qual. Control”, Thread “Completeness of candidate doc.”, Posting Kai Gilb 17.09.2004: “We have found Inspection to operate in the area of about 3% (the normal for inspections not optimized with optimal checking rates etc.) to about 88%.” </t>
  </si>
  <si>
    <t>190</t>
  </si>
  <si>
    <t>Necessary number of full reviewers to achieve the Achievable Effectiveness. 
Full reviewer: reviewer who has the knowledge to check all parts of the review object.
Rule of thumb: Necessary number of full reviewers = 2.5 to 3 (estimation by P.Rösler, 2011)
Benchmark data: A company reported that for code reviews 4 or more reviewers did only find negligible more defects than 3 reviewers.
--&gt;
Notwendige Anzahl an "Vollreviewern", um die "Erreichbare Effektivität" zu erlangen.
"Vollreviewer": Reviewer, die das Wissen haben, um alle Teile des Reviewobjekts zu prüfen.
Pi-mal-Daumen Regel: Notwendige Anzahl an "Vollreviewern" = 2,5 bis 3 (Schätzung durch P. Rösler, 2011)
Benchmark Daten: Ein Unternehmen berichtete für Codereviews, dass 4 oder mehr Reviewer im Vergleich zu 3 Reviewern nur noch eine vernachlässigbare Anzahl Befunde zusätzlich gefunden haben.</t>
  </si>
  <si>
    <t>191</t>
  </si>
  <si>
    <t>Optimum checking time (total for all reviewers)
--&gt;
Optimale Lesezeit (Summe für alle Reviewer)</t>
  </si>
  <si>
    <t>192</t>
  </si>
  <si>
    <t>Actual checking time (total for all reviewers)
--&gt;
Tatsächliche Lesezeit (Summe für alle Reviewer)</t>
  </si>
  <si>
    <t>193</t>
  </si>
  <si>
    <t xml:space="preserve">Effectiveness Definition:
Effectiveness = Major defects found / all existing Major defects
Effectiveness Estimation (P. Rösler, 2011):
Effectiveness = Achievable Effectiveness *
Optimum Checking Time / Actual  Checking Time
--&gt;
Definition der Effektivität
Effektivität = gefundene Major / alle vorhandenen Major
Schätzung der Effektivitiät (P. Rösler, 2011):
Effektivität = Erreichbare Effektivität * Optimale Lesezeit / Tatsächliche Lesezeit
</t>
  </si>
  <si>
    <t>194</t>
  </si>
  <si>
    <t xml:space="preserve">Number of Major defects found in the review object (don't count Major defects in the reference documents).
Caution: too many Majors found in the meeting (provided by "all") will destort the estimate.
--&gt;
Anzahl der Major im Reviewobjekt (nicht die Majors in Referenzdokumenten zählen)
Achtung: zu viele Majors, die in der Reviewsitzung gefunden wurden (Input von "alle") machen die Schätzung ungültig. </t>
  </si>
  <si>
    <r>
      <rPr>
        <sz val="10"/>
        <rFont val="Arial"/>
        <family val="2"/>
        <charset val="1"/>
      </rPr>
      <t xml:space="preserve">Number of Major defects found in the review object (don't count Major defects in the reference documents).
Caution: too many Majors found in the meeting (provided by "all") will </t>
    </r>
    <r>
      <rPr>
        <sz val="10"/>
        <color rgb="FFFF0000"/>
        <rFont val="Arial"/>
        <family val="2"/>
        <charset val="1"/>
      </rPr>
      <t>distort</t>
    </r>
    <r>
      <rPr>
        <sz val="10"/>
        <rFont val="Arial"/>
        <family val="2"/>
        <charset val="1"/>
      </rPr>
      <t xml:space="preserve"> the estimate.</t>
    </r>
  </si>
  <si>
    <t>195</t>
  </si>
  <si>
    <t xml:space="preserve">Estimated number of Major defects before review = Majors found / Effectiveness
Benchmark data ("Software Inspection" 1993, p385, MEL inspection data):
"Default expectation: before Inspection, for documents never Inspected, and which have been written by authors without Inspection experience for that document type: 10-20 major defects per page. For mature process documents we would expect fewer than 0.5 majors per page before checking. " 
--&gt;
Geschätzte Zahl an Major vor dem Review = Gefundene Majors found / Effectiveness
Benchmark Daten ("Software Inspection" 1993, p385, MEL inspection data):
"Default expectation: before Inspection, for documents never Inspected, and which have been written by authors without Inspection experience for that document type: 10-20 major defects per page. For mature process documents we would expect fewer than 0.5 majors per page before checking. " </t>
  </si>
  <si>
    <t>196</t>
  </si>
  <si>
    <t>Remaining Major defects after rework (assuming that all corrections done by author are correct)
--&gt;
Noch im Dokument enthaltene Majors nach Überarbeitung durch den Autor (unter der Annahme, dass alle Korrekturen richtig durchgeführt wurden)</t>
  </si>
  <si>
    <t>197</t>
  </si>
  <si>
    <t>so called "remaining Major defect density"
--&gt;
sogenannte "Rest-Fehlerdichte der Majors"</t>
  </si>
  <si>
    <t>Fehlerdichte ist ein häufig genutzter Ausdruck, aber "Rest-Fehlerdichte der Majors" klingt komisch. Besserer Vorschlag?</t>
  </si>
  <si>
    <t>198</t>
  </si>
  <si>
    <t>For a description of the method see book "Reviews in der System- und Softwareentwicklung – Grundlagen, Praxis, kontinuierliche Verbesserung" (in German) or www.reviewtechnik.de/SW-QS-Tag-2010_Stichproben-Reviews_Roesler_Schlich_v1.5_pub.ppt, slides 47-50 (in German)
--&gt; 
Eine Beschreibung der Methode finden Sie im Buch "Reviews in der System- und Softwareentwicklung – Grundlagen, Praxis, kontinuierliche Verbesserung". Eine Beschreibung einer ähnlichen Schätzung finden Sie unter reviewtechnik.de/SW-QS-Tag-2010_Stichproben-Reviews_Roesler_Schlich_v1.5_pub.ppt, Folien 47-50</t>
  </si>
  <si>
    <t>199</t>
  </si>
  <si>
    <t>A = Number of Majors (including duplicates) found by reviewer A
in the review object (don't count Major defects in the reference documents).
Reviewer A is the reviewer, who found the most Majors.
--&gt;
A = Anzahl Majors (inklusive Duplikate), die Reviewer A im Reviewobjekt gefunden hat (Majors in den Referenzdokumenten nicht mitzählen).
Reviewer A ist der Reviewer, der die meisten Majors gefunden hat.</t>
  </si>
  <si>
    <t>200</t>
  </si>
  <si>
    <t>B = Number of Majors found by reviewer B
The other reviewers constitue "reviewer B". Duplicates within this group are not counted, only duplicates to reviewer A.
--&gt;
B = Anzahl Majors, die Reviewer B gefunden hat.
Alle anderen Reviewer zusammen bilden "Reviewer B". Duplikate innerhalb der Gruppe werden nicht gezählt, Duplikate zum Reviewer A werden gezählt.</t>
  </si>
  <si>
    <t>201</t>
  </si>
  <si>
    <t>C = Number of Majors, which were found by both reviewers.
Caution: This is not necessarily the number of Major findings with status "duplicate".
--&gt;
C = Anzahl Majors, die von Reviewer A und B gefunden wurden.
Achtung: Dies ist nicht automatisch die Anzahl Majors mit Status "Duplikat".</t>
  </si>
  <si>
    <t>202</t>
  </si>
  <si>
    <t>Caution: if the number of duplicates (C) is low (e.g. 1,2,3), then the result is very arguable.
Caution: Majors found in the meeting (provided by "all") will destort the estimate. The real effectiveness will be higher in this case.
--&gt;
Achtung: wenn die Anzahl der Duplikate (C) sehr gering ist (z.B. 1, 2, 3) , dann ist das Ergebnis angreifbar.
Achtung: Majors, die in der Reviewsitzung gefunden wurden (Input von "alle") verfälschen die Schätzung. Die tatsächliche Effektivität wäre in diesem Fall höher.</t>
  </si>
  <si>
    <t>203</t>
  </si>
  <si>
    <t>Number of Majors found: F = A + B - C
This number does not include the Majors, which were found in the review meeting (provided by "all").
--&gt;
Anzahl Majors gefunden: F = A + B - C
Diese Zahl enthält nicht die die Majors, die während der Reviewsitzung gefunden wurden (Input von "alle").</t>
  </si>
  <si>
    <t>204</t>
  </si>
  <si>
    <t>Estimated number of all Majors in review object: T = A * B / C
--&gt;
Geschätzte Zahl der gesamten Majors im Reviewobjekt: T = A * B / C</t>
  </si>
  <si>
    <t>205</t>
  </si>
  <si>
    <t>Experts estimate for the worst 1, 2 or 3 found Major defects, how much time it would have cost to find and fix each of them later in the project. The other Major defects are estimated across-the-board.
--&gt;
Experten schätzen für die schlimmsten 1, 2 oder 3 gefundenen Majors ab, wie viel Zeit notwendig gewesen wäre, diese Befunde später im Projekt zu entdecken und zu beheben. Alle anderen Majors werden zusammengefasst abgeschätzt.</t>
  </si>
  <si>
    <t>206</t>
  </si>
  <si>
    <t>No. of the examined Major defect in the "List of Findings"
--&gt;
Anzahl der analysierten Majors in der Befundliste (LoF)</t>
  </si>
  <si>
    <t>207</t>
  </si>
  <si>
    <t>Mean value for find&amp;fix a Major later
Admittedly this is the difficult part of the estimation as long as there are no historical data of projects in the company (e.g. in a defect tracking tool) .
Benchmark data ("Software Inspection" 1993, p315, MEL inspection data):
9.3 work-hours
Benchmark data from another company (source: P. Rösler 2011):
Default statistic value for every defect not found is 
 - if the review is done in the Requirements phase:               50 h.
 - if the review is done in the Analysis &amp; Planning phase:      30 h.
 - if the review is done in the Implementation phase:               8 h.
 - if the review is done in the System Test phase:                   2 h.
--&gt;
Mittelwert für spätere Entdeckung und Behebung eines Majors
Dies ist zugegebenermaßen der schwierigste Teil der Abschätzung, solange es keine historischen Daten der Projekte im Unternehmen gibt (v.a. aus einem Fehlermanagementtool).
Benchmark Daten ("Software Inspection" 1993, p315, MEL inspection data):
9.3 work-hours
Benchmark data from another company (source: P. Rösler 2011):
Default statistic value for every defect not found is 
 - if the review is done in the Requirements phase:               50 h.
 - if the review is done in the Analysis &amp; Planning phase:      30 h.
 - if the review is done in the Implementation phase:               8 h.
 - if the review is done in the System Test phase:                   2 h.</t>
  </si>
  <si>
    <t>Vorschlag für en: Leerzeichen vor 8h eingefügt (rechtsbündig formatiert also).
Kommt 2x vor</t>
  </si>
  <si>
    <t>208</t>
  </si>
  <si>
    <t>Expert who provided the estimation and/or any comments concerning the estimation
--&gt;
Experte, der die Schätzung und/oder Kommentare zur Schätzung liefert</t>
  </si>
  <si>
    <t>kommt 2x vor</t>
  </si>
  <si>
    <t>209</t>
  </si>
  <si>
    <t>Return on Investment
If greater 0, then the review saved project effort.
--&gt;
Return on Investment
Falls größer 0, dann hat das Review Aufwand eingespart.</t>
  </si>
  <si>
    <t>210</t>
  </si>
  <si>
    <t>Insert more lines if necessary
--&gt;
Falls nötig, weitere Zeilen einfügen</t>
  </si>
  <si>
    <t>211</t>
  </si>
  <si>
    <t>Please select (or enter name of specialist who performs Follow-Up)
--&gt;
Bitte wählen (oder Namen eines Spezialisten angeben, der das Follow-up durchführt.</t>
  </si>
  <si>
    <t>212</t>
  </si>
  <si>
    <t>Statt Zusätzliche Anmerkungen: "Zusätzliche Anmerkungen oder Auflagen zur Freigabe"</t>
  </si>
  <si>
    <t>auch in en</t>
  </si>
  <si>
    <t>213</t>
  </si>
  <si>
    <t>Dateieigenschaften</t>
  </si>
  <si>
    <t>Liste der Autoren auf Peter, Maud, Ralf geändert</t>
  </si>
  <si>
    <t>auch in en machen</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</si>
  <si>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</si>
  <si>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</si>
  <si>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</si>
  <si>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</si>
  <si>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</si>
  <si>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</si>
  <si>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</si>
  <si>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</si>
  <si>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</si>
  <si>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</si>
  <si>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</si>
  <si>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</si>
  <si>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</si>
  <si>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</si>
  <si>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</si>
  <si>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</si>
  <si>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</si>
  <si>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</si>
  <si>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</si>
  <si>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</si>
  <si>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</si>
  <si>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</si>
  <si>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</si>
  <si>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</si>
  <si>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</si>
  <si>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</si>
  <si>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</si>
  <si>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</si>
  <si>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</si>
  <si>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</si>
  <si>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</si>
  <si>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studyconnect Gruppe 4</t>
  </si>
  <si>
    <t>Dominik Ehmann, Nils Richter, Marc Walter, Leonhard Schneider</t>
  </si>
  <si>
    <t>Hashmatulla Habibi</t>
  </si>
  <si>
    <t>backend/*.java</t>
  </si>
  <si>
    <t>docs/*.md</t>
  </si>
  <si>
    <t>docker-compose.yml, pom.xml</t>
  </si>
  <si>
    <t>java</t>
  </si>
  <si>
    <t>md</t>
  </si>
  <si>
    <t>yml/xml</t>
  </si>
  <si>
    <t>https://github.com/dgrewe-hse/studyconnect/tree/main/docs/requirements.md</t>
  </si>
  <si>
    <t>https://github.com/dgrewe-hse/studyconnect/tree/main/docs/specs.md</t>
  </si>
  <si>
    <t>https://github.com/dgrewe-hse/studyconnect/tree/main/docs/use-cases.md</t>
  </si>
  <si>
    <t>DGR</t>
  </si>
  <si>
    <t>DGS</t>
  </si>
  <si>
    <t>UseCase</t>
  </si>
  <si>
    <t>https://github.com/hs-esslingen-softwaretesting-gruppe-4/studyconnect/tree/main/docs/use-cases</t>
  </si>
  <si>
    <t>https://github.com/hs-esslingen-softwaretesting-gruppe-4/studyconnect/tree/main/docs/user-stories</t>
  </si>
  <si>
    <t>UserStories</t>
  </si>
  <si>
    <t>Tom Karaqi</t>
  </si>
  <si>
    <t>TK</t>
  </si>
  <si>
    <t>Laurent Siwaily</t>
  </si>
  <si>
    <t>LS</t>
  </si>
  <si>
    <t>20.11.2025/14:00/Esslingen am Neckar</t>
  </si>
  <si>
    <t>25.11.2025/20:00</t>
  </si>
  <si>
    <t>Marius</t>
  </si>
  <si>
    <t>Linus</t>
  </si>
  <si>
    <t>M</t>
  </si>
  <si>
    <t>L</t>
  </si>
  <si>
    <t>Alignment Required - Specification contradicts actual implementation stack. Update documentation.</t>
  </si>
  <si>
    <t>Bug - LocalDateTime cannot use @Temporal. Replace with proper JPA type.</t>
  </si>
  <si>
    <t>Enhancement - Add @Email constraint and unique index on email field.</t>
  </si>
  <si>
    <t>Enhancement - Use enum for PRIVATE/PUBLIC with length constraints.</t>
  </si>
  <si>
    <t>Consistency - Verify default values align with requirements.</t>
  </si>
  <si>
    <r>
      <t>Risk</t>
    </r>
    <r>
      <rPr>
        <sz val="11"/>
        <rFont val="Segoe UI"/>
        <family val="2"/>
      </rPr>
      <t> - Document and ensure .env sample exists for production.</t>
    </r>
  </si>
  <si>
    <t>Enhancement - Add Pageable methods for collection queries.</t>
  </si>
  <si>
    <t>Bug - Implement @ManyToOne User relationship for integrity.</t>
  </si>
  <si>
    <t>Bug - Add @ManyToOne relations to User/Task for FK integrity.</t>
  </si>
  <si>
    <r>
      <t>Quality</t>
    </r>
    <r>
      <rPr>
        <sz val="11"/>
        <rFont val="Segoe UI"/>
        <family val="2"/>
      </rPr>
      <t> - Add @NotNull, @Size, @Email for constraint enforcement.</t>
    </r>
  </si>
  <si>
    <t>Consistency - Standardize naming convention (use camelCase).</t>
  </si>
  <si>
    <r>
      <t>Critical</t>
    </r>
    <r>
      <rPr>
        <sz val="11"/>
        <rFont val="Segoe UI"/>
        <family val="2"/>
      </rPr>
      <t> - Align pom.xml (Java 21) with documentation (JDK 17).</t>
    </r>
  </si>
  <si>
    <r>
      <t>Quality</t>
    </r>
    <r>
      <rPr>
        <sz val="11"/>
        <rFont val="Segoe UI"/>
        <family val="2"/>
      </rPr>
      <t> - Add @Size constraints to User/Group/Task fields.</t>
    </r>
  </si>
  <si>
    <r>
      <t>Bug</t>
    </r>
    <r>
      <rPr>
        <sz val="11"/>
        <rFont val="Segoe UI"/>
        <family val="2"/>
      </rPr>
      <t> - Add default/validation to prevent open CORS.</t>
    </r>
  </si>
  <si>
    <t xml:space="preserve"> floating Risk - Pin PostgreSQL version in compose file.</t>
  </si>
  <si>
    <r>
      <t>Config</t>
    </r>
    <r>
      <rPr>
        <sz val="11"/>
        <rFont val="Segoe UI"/>
        <family val="2"/>
      </rPr>
      <t> - Clarify or rename postgres container for clarity.</t>
    </r>
  </si>
  <si>
    <t>Offen</t>
  </si>
  <si>
    <t>HH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</si>
</sst>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25" x14ac:knownFonts="1">
    <font>
      <sz val="10"/>
      <name val="Arial"/>
      <charset val="1"/>
    </font>
    <font>
      <sz val="12"/>
      <name val="Times New Roman"/>
      <family val="1"/>
      <charset val="1"/>
    </font>
    <font>
      <sz val="10"/>
      <name val="Arial"/>
      <family val="2"/>
      <charset val="1"/>
    </font>
    <font>
      <b/>
      <sz val="18"/>
      <name val="Arial"/>
      <family val="2"/>
      <charset val="1"/>
    </font>
    <font>
      <sz val="11"/>
      <name val="Arial"/>
      <family val="2"/>
      <charset val="1"/>
    </font>
    <font>
      <b/>
      <i/>
      <sz val="10"/>
      <name val="Arial"/>
      <family val="2"/>
      <charset val="1"/>
    </font>
    <font>
      <sz val="10"/>
      <color rgb="FFFF0000"/>
      <name val="Arial"/>
      <family val="2"/>
      <charset val="1"/>
    </font>
    <font>
      <b/>
      <sz val="10"/>
      <name val="Arial"/>
      <family val="2"/>
      <charset val="1"/>
    </font>
    <font>
      <b/>
      <i/>
      <sz val="11"/>
      <name val="Arial"/>
      <family val="2"/>
      <charset val="1"/>
    </font>
    <font>
      <i/>
      <sz val="8"/>
      <color rgb="FF000000"/>
      <name val="Tahoma"/>
      <family val="2"/>
      <charset val="1"/>
    </font>
    <font>
      <sz val="8"/>
      <color rgb="FF000000"/>
      <name val="Tahoma"/>
      <family val="2"/>
      <charset val="1"/>
    </font>
    <font>
      <sz val="9"/>
      <name val="Arial"/>
      <family val="2"/>
      <charset val="1"/>
    </font>
    <font>
      <sz val="8"/>
      <color rgb="FF000000"/>
      <name val="Arial"/>
      <family val="2"/>
      <charset val="1"/>
    </font>
    <font>
      <b/>
      <sz val="11"/>
      <name val="Arial"/>
      <family val="2"/>
      <charset val="1"/>
    </font>
    <font>
      <b/>
      <sz val="16"/>
      <name val="Arial"/>
      <family val="2"/>
      <charset val="1"/>
    </font>
    <font>
      <b/>
      <sz val="8"/>
      <color rgb="FF000000"/>
      <name val="Arial"/>
      <family val="2"/>
      <charset val="1"/>
    </font>
    <font>
      <i/>
      <sz val="8"/>
      <color rgb="FF000000"/>
      <name val="Arial"/>
      <family val="2"/>
      <charset val="1"/>
    </font>
    <font>
      <sz val="8"/>
      <name val="Arial"/>
      <family val="2"/>
      <charset val="1"/>
    </font>
    <font>
      <i/>
      <sz val="10"/>
      <name val="Arial"/>
      <family val="2"/>
      <charset val="1"/>
    </font>
    <font>
      <sz val="11"/>
      <color rgb="FF3F3F76"/>
      <name val="Calibri"/>
      <family val="2"/>
      <charset val="1"/>
    </font>
    <font>
      <sz val="10"/>
      <name val="Calibri"/>
      <family val="2"/>
      <charset val="1"/>
    </font>
    <font>
      <b/>
      <sz val="8"/>
      <color rgb="FF000000"/>
      <name val="Tahoma"/>
      <family val="2"/>
      <charset val="1"/>
    </font>
    <font>
      <u/>
      <sz val="10"/>
      <color theme="10"/>
      <name val="Arial"/>
      <family val="2"/>
    </font>
    <font>
      <sz val="11"/>
      <name val="Segoe UI"/>
      <family val="2"/>
    </font>
    <font>
      <sz val="8.75"/>
      <name val="Segoe UI"/>
      <family val="2"/>
    </font>
  </fonts>
  <fills count="7">
    <fill>
      <patternFill patternType="none"/>
    </fill>
    <fill>
      <patternFill patternType="gray125"/>
    </fill>
    <fill>
      <patternFill patternType="solid">
        <fgColor rgb="FFFFCC99"/>
        <bgColor rgb="FFC9C9C9"/>
      </patternFill>
    </fill>
    <fill>
      <patternFill patternType="solid">
        <fgColor rgb="FFDEEBCD"/>
        <bgColor rgb="FFD5F5FB"/>
      </patternFill>
    </fill>
    <fill>
      <patternFill patternType="solid">
        <fgColor rgb="FFD5F5FB"/>
        <bgColor rgb="FFCCFFFF"/>
      </patternFill>
    </fill>
    <fill>
      <patternFill patternType="solid">
        <fgColor rgb="FFFFFF99"/>
        <bgColor rgb="FFFFFFCC"/>
      </patternFill>
    </fill>
    <fill>
      <patternFill patternType="solid">
        <fgColor rgb="FFFFFFFF"/>
        <bgColor rgb="FFFFFFCC"/>
      </patternFill>
    </fill>
  </fills>
  <borders count="15">
    <border>
      <left/>
      <right/>
      <top/>
      <bottom/>
      <diagonal/>
    </border>
    <border>
      <left style="thin">
        <color rgb="FF7F7F7F"/>
      </left>
      <right style="thin">
        <color rgb="FF7F7F7F"/>
      </right>
      <top style="thin">
        <color rgb="FF7F7F7F"/>
      </top>
      <bottom style="thin">
        <color rgb="FF7F7F7F"/>
      </bottom>
      <diagonal/>
    </border>
    <border>
      <left style="thin">
        <color rgb="FFC9C9C9"/>
      </left>
      <right/>
      <top style="thin">
        <color rgb="FFC9C9C9"/>
      </top>
      <bottom style="thin">
        <color rgb="FFC9C9C9"/>
      </bottom>
      <diagonal/>
    </border>
    <border>
      <left/>
      <right/>
      <top style="thin">
        <color rgb="FFC9C9C9"/>
      </top>
      <bottom style="thin">
        <color rgb="FFC9C9C9"/>
      </bottom>
      <diagonal/>
    </border>
    <border>
      <left/>
      <right style="thin">
        <color rgb="FFC9C9C9"/>
      </right>
      <top style="thin">
        <color rgb="FFC9C9C9"/>
      </top>
      <bottom style="thin">
        <color rgb="FFC9C9C9"/>
      </bottom>
      <diagonal/>
    </border>
    <border>
      <left style="thin">
        <color rgb="FFC9C9C9"/>
      </left>
      <right style="thin">
        <color rgb="FFC9C9C9"/>
      </right>
      <top style="thin">
        <color rgb="FFC9C9C9"/>
      </top>
      <bottom style="thin">
        <color rgb="FFC9C9C9"/>
      </bottom>
      <diagonal/>
    </border>
    <border>
      <left style="thin">
        <color rgb="FFC9C9C9"/>
      </left>
      <right style="thin">
        <color rgb="FFC9C9C9"/>
      </right>
      <top/>
      <bottom style="thin">
        <color rgb="FFC9C9C9"/>
      </bottom>
      <diagonal/>
    </border>
    <border>
      <left/>
      <right/>
      <top style="thin">
        <color rgb="FFC9C9C9"/>
      </top>
      <bottom/>
      <diagonal/>
    </border>
    <border>
      <left/>
      <right/>
      <top/>
      <bottom style="thin">
        <color rgb="FFC9C9C9"/>
      </bottom>
      <diagonal/>
    </border>
    <border>
      <left style="thin">
        <color rgb="FFC9C9C9"/>
      </left>
      <right/>
      <top style="thin">
        <color rgb="FFC9C9C9"/>
      </top>
      <bottom/>
      <diagonal/>
    </border>
    <border>
      <left/>
      <right style="thin">
        <color rgb="FFC9C9C9"/>
      </right>
      <top style="thin">
        <color rgb="FFC9C9C9"/>
      </top>
      <bottom/>
      <diagonal/>
    </border>
    <border>
      <left style="thin">
        <color rgb="FFC9C9C9"/>
      </left>
      <right/>
      <top/>
      <bottom/>
      <diagonal/>
    </border>
    <border>
      <left style="thin">
        <color rgb="FFC9C9C9"/>
      </left>
      <right/>
      <top/>
      <bottom style="thin">
        <color rgb="FFC9C9C9"/>
      </bottom>
      <diagonal/>
    </border>
    <border>
      <left style="thin">
        <color rgb="FFC9C9C9"/>
      </left>
      <right style="thin">
        <color rgb="FFC9C9C9"/>
      </right>
      <top/>
      <bottom/>
      <diagonal/>
    </border>
    <border>
      <left style="medium">
        <color rgb="FF000000"/>
      </left>
      <right style="medium">
        <color rgb="FF000000"/>
      </right>
      <top style="medium">
        <color rgb="FF000000"/>
      </top>
      <bottom/>
      <diagonal/>
    </border>
  </borders>
  <cellStyleXfs count="6">
    <xf numFmtId="0" fontId="0" fillId="0" borderId="0"/>
    <xf numFmtId="0" fontId="1" fillId="0" borderId="0" applyBorder="0"/>
    <xf numFmtId="0" fontId="2" fillId="0" borderId="0" applyBorder="0"/>
    <xf numFmtId="0" fontId="1" fillId="0" borderId="0" applyBorder="0"/>
    <xf numFmtId="0" fontId="19" fillId="2" borderId="1" applyProtection="0"/>
    <xf numFmtId="0" fontId="22" fillId="0" borderId="0" applyNumberFormat="0" applyFill="0" applyBorder="0" applyAlignment="0" applyProtection="0"/>
  </cellStyleXfs>
  <cellXfs count="99">
    <xf numFmtId="0" fontId="0" fillId="0" borderId="0" xfId="0"/>
    <xf numFmtId="0" fontId="4" fillId="0" borderId="5" xfId="0" applyFont="1" applyBorder="1" applyAlignment="1">
      <alignment horizontal="left" vertical="top" wrapText="1" indent="1"/>
    </xf>
    <xf numFmtId="0" fontId="2" fillId="0" borderId="5" xfId="0" applyFont="1" applyBorder="1" applyAlignment="1">
      <alignment horizontal="center" vertical="top" wrapText="1"/>
    </xf>
    <xf numFmtId="0" fontId="2" fillId="0" borderId="5" xfId="0" applyFont="1" applyBorder="1" applyAlignment="1">
      <alignment horizontal="left" vertical="top" wrapText="1"/>
    </xf>
    <xf numFmtId="0" fontId="2" fillId="0" borderId="0" xfId="3" applyFont="1" applyBorder="1"/>
    <xf numFmtId="0" fontId="3" fillId="3" borderId="2" xfId="3" applyFont="1" applyFill="1" applyBorder="1" applyAlignment="1">
      <alignment horizontal="left" vertical="center"/>
    </xf>
    <xf numFmtId="0" fontId="3" fillId="3" borderId="3" xfId="3" applyFont="1" applyFill="1" applyBorder="1" applyAlignment="1">
      <alignment horizontal="left"/>
    </xf>
    <xf numFmtId="0" fontId="2" fillId="3" borderId="3" xfId="3" applyFont="1" applyFill="1" applyBorder="1" applyAlignment="1">
      <alignment horizontal="left"/>
    </xf>
    <xf numFmtId="0" fontId="2" fillId="3" borderId="4" xfId="3" applyFont="1" applyFill="1" applyBorder="1" applyAlignment="1">
      <alignment horizontal="left"/>
    </xf>
    <xf numFmtId="0" fontId="6" fillId="0" borderId="0" xfId="3" applyFont="1" applyBorder="1"/>
    <xf numFmtId="49" fontId="7" fillId="3" borderId="5" xfId="0" applyNumberFormat="1" applyFont="1" applyFill="1" applyBorder="1" applyAlignment="1">
      <alignment horizontal="center" vertical="center" wrapText="1"/>
    </xf>
    <xf numFmtId="49" fontId="2" fillId="0" borderId="5" xfId="0" applyNumberFormat="1" applyFont="1" applyBorder="1" applyAlignment="1">
      <alignment horizontal="center" vertical="top" wrapText="1"/>
    </xf>
    <xf numFmtId="164" fontId="2" fillId="0" borderId="5" xfId="0" applyNumberFormat="1" applyFont="1" applyBorder="1" applyAlignment="1">
      <alignment horizontal="left" vertical="top" wrapText="1"/>
    </xf>
    <xf numFmtId="0" fontId="2" fillId="0" borderId="5" xfId="0" applyFont="1" applyBorder="1" applyAlignment="1">
      <alignment vertical="top" wrapText="1"/>
    </xf>
    <xf numFmtId="0" fontId="7" fillId="0" borderId="5" xfId="0" applyFont="1" applyBorder="1" applyAlignment="1">
      <alignment vertical="top" wrapText="1"/>
    </xf>
    <xf numFmtId="0" fontId="8" fillId="3" borderId="5" xfId="3" applyFont="1" applyFill="1" applyBorder="1" applyAlignment="1">
      <alignment horizontal="center" wrapText="1"/>
    </xf>
    <xf numFmtId="0" fontId="4" fillId="0" borderId="5" xfId="0" applyFont="1" applyBorder="1" applyAlignment="1">
      <alignment horizontal="center" vertical="top" wrapText="1"/>
    </xf>
    <xf numFmtId="0" fontId="4" fillId="4" borderId="5" xfId="3" applyFont="1" applyFill="1" applyBorder="1" applyAlignment="1">
      <alignment horizontal="center" vertical="center" wrapText="1"/>
    </xf>
    <xf numFmtId="0" fontId="2" fillId="0" borderId="7" xfId="0" applyFont="1" applyBorder="1" applyAlignment="1">
      <alignment horizontal="center" vertical="top" wrapText="1"/>
    </xf>
    <xf numFmtId="164" fontId="2" fillId="0" borderId="7" xfId="0" applyNumberFormat="1" applyFont="1" applyBorder="1" applyAlignment="1">
      <alignment horizontal="left" vertical="top" wrapText="1"/>
    </xf>
    <xf numFmtId="0" fontId="2" fillId="0" borderId="7" xfId="0" applyFont="1" applyBorder="1" applyAlignment="1">
      <alignment horizontal="left" vertical="top" wrapText="1"/>
    </xf>
    <xf numFmtId="0" fontId="2" fillId="0" borderId="7" xfId="0" applyFont="1" applyBorder="1" applyAlignment="1">
      <alignment vertical="top" wrapText="1"/>
    </xf>
    <xf numFmtId="0" fontId="2" fillId="0" borderId="8" xfId="0" applyFont="1" applyBorder="1" applyAlignment="1">
      <alignment horizontal="center" vertical="top" wrapText="1"/>
    </xf>
    <xf numFmtId="164" fontId="2" fillId="0" borderId="8" xfId="0" applyNumberFormat="1" applyFont="1" applyBorder="1" applyAlignment="1">
      <alignment horizontal="left" vertical="top" wrapText="1"/>
    </xf>
    <xf numFmtId="0" fontId="2" fillId="0" borderId="8" xfId="0" applyFont="1" applyBorder="1" applyAlignment="1">
      <alignment horizontal="left" vertical="top" wrapText="1"/>
    </xf>
    <xf numFmtId="0" fontId="2" fillId="0" borderId="8" xfId="0" applyFont="1" applyBorder="1" applyAlignment="1">
      <alignment vertical="top" wrapText="1"/>
    </xf>
    <xf numFmtId="0" fontId="2" fillId="0" borderId="5" xfId="3" applyFont="1" applyBorder="1"/>
    <xf numFmtId="165" fontId="2" fillId="4" borderId="5" xfId="0" applyNumberFormat="1" applyFont="1" applyFill="1" applyBorder="1" applyAlignment="1">
      <alignment horizontal="center" vertical="center"/>
    </xf>
    <xf numFmtId="0" fontId="3" fillId="3" borderId="9" xfId="3" applyFont="1" applyFill="1" applyBorder="1" applyAlignment="1">
      <alignment horizontal="left" vertical="center"/>
    </xf>
    <xf numFmtId="0" fontId="3" fillId="3" borderId="7" xfId="3" applyFont="1" applyFill="1" applyBorder="1" applyAlignment="1">
      <alignment horizontal="left"/>
    </xf>
    <xf numFmtId="0" fontId="2" fillId="3" borderId="10" xfId="3" applyFont="1" applyFill="1" applyBorder="1" applyAlignment="1">
      <alignment horizontal="center"/>
    </xf>
    <xf numFmtId="0" fontId="8" fillId="0" borderId="9" xfId="3" applyFont="1" applyBorder="1" applyAlignment="1">
      <alignment horizontal="right" vertical="center" wrapText="1"/>
    </xf>
    <xf numFmtId="0" fontId="4" fillId="0" borderId="2" xfId="3" applyFont="1" applyBorder="1" applyAlignment="1">
      <alignment horizontal="left" vertical="center" wrapText="1" indent="1"/>
    </xf>
    <xf numFmtId="0" fontId="4" fillId="0" borderId="4" xfId="0" applyFont="1" applyBorder="1" applyAlignment="1">
      <alignment horizontal="center"/>
    </xf>
    <xf numFmtId="0" fontId="11" fillId="0" borderId="0" xfId="3" applyFont="1" applyBorder="1" applyAlignment="1">
      <alignment vertical="center"/>
    </xf>
    <xf numFmtId="0" fontId="8" fillId="0" borderId="11" xfId="3" applyFont="1" applyBorder="1" applyAlignment="1">
      <alignment horizontal="right" vertical="center" wrapText="1"/>
    </xf>
    <xf numFmtId="0" fontId="4" fillId="0" borderId="4" xfId="3" applyFont="1" applyBorder="1" applyAlignment="1">
      <alignment horizontal="center" vertical="center" wrapText="1"/>
    </xf>
    <xf numFmtId="0" fontId="8" fillId="0" borderId="12" xfId="3" applyFont="1" applyBorder="1" applyAlignment="1">
      <alignment horizontal="right" vertical="center" wrapText="1"/>
    </xf>
    <xf numFmtId="0" fontId="8" fillId="3" borderId="2" xfId="3" applyFont="1" applyFill="1" applyBorder="1"/>
    <xf numFmtId="0" fontId="8" fillId="3" borderId="3" xfId="3" applyFont="1" applyFill="1" applyBorder="1" applyAlignment="1">
      <alignment horizontal="left" indent="1"/>
    </xf>
    <xf numFmtId="0" fontId="11" fillId="0" borderId="0" xfId="3" applyFont="1" applyBorder="1"/>
    <xf numFmtId="0" fontId="4" fillId="0" borderId="5" xfId="3" applyFont="1" applyBorder="1" applyAlignment="1">
      <alignment horizontal="left" wrapText="1" indent="1"/>
    </xf>
    <xf numFmtId="49" fontId="4" fillId="0" borderId="5" xfId="3" applyNumberFormat="1" applyFont="1" applyBorder="1" applyAlignment="1">
      <alignment horizontal="center" wrapText="1"/>
    </xf>
    <xf numFmtId="0" fontId="8" fillId="3" borderId="4" xfId="3" applyFont="1" applyFill="1" applyBorder="1" applyAlignment="1">
      <alignment horizontal="center" wrapText="1"/>
    </xf>
    <xf numFmtId="0" fontId="8" fillId="3" borderId="2" xfId="3" applyFont="1" applyFill="1" applyBorder="1" applyAlignment="1">
      <alignment vertical="center" wrapText="1"/>
    </xf>
    <xf numFmtId="0" fontId="8" fillId="3" borderId="2" xfId="3" applyFont="1" applyFill="1" applyBorder="1" applyAlignment="1">
      <alignment horizontal="left" wrapText="1" indent="1"/>
    </xf>
    <xf numFmtId="0" fontId="8" fillId="3" borderId="5" xfId="3" applyFont="1" applyFill="1" applyBorder="1" applyAlignment="1">
      <alignment horizontal="center" vertical="center" wrapText="1"/>
    </xf>
    <xf numFmtId="0" fontId="8" fillId="3" borderId="2" xfId="3" applyFont="1" applyFill="1" applyBorder="1" applyAlignment="1">
      <alignment horizontal="left" vertical="center" wrapText="1" indent="1"/>
    </xf>
    <xf numFmtId="0" fontId="8" fillId="3" borderId="4" xfId="3" applyFont="1" applyFill="1" applyBorder="1" applyAlignment="1">
      <alignment horizontal="center" vertical="center" wrapText="1"/>
    </xf>
    <xf numFmtId="0" fontId="8" fillId="3" borderId="3" xfId="3" applyFont="1" applyFill="1" applyBorder="1" applyAlignment="1">
      <alignment horizontal="left" vertical="center" wrapText="1" indent="1"/>
    </xf>
    <xf numFmtId="165" fontId="4" fillId="0" borderId="5" xfId="3" applyNumberFormat="1" applyFont="1" applyBorder="1" applyAlignment="1">
      <alignment horizontal="left" vertical="center" wrapText="1" indent="1"/>
    </xf>
    <xf numFmtId="2" fontId="4" fillId="4" borderId="5" xfId="3" applyNumberFormat="1" applyFont="1" applyFill="1" applyBorder="1" applyAlignment="1">
      <alignment horizontal="left" vertical="center" wrapText="1" indent="1"/>
    </xf>
    <xf numFmtId="0" fontId="8" fillId="3" borderId="4" xfId="3" applyFont="1" applyFill="1" applyBorder="1" applyAlignment="1">
      <alignment horizontal="left" vertical="center" wrapText="1" indent="1"/>
    </xf>
    <xf numFmtId="0" fontId="8" fillId="3" borderId="3" xfId="3" applyFont="1" applyFill="1" applyBorder="1" applyAlignment="1">
      <alignment horizontal="left"/>
    </xf>
    <xf numFmtId="0" fontId="8" fillId="3" borderId="4" xfId="3" applyFont="1" applyFill="1" applyBorder="1" applyAlignment="1">
      <alignment horizontal="left" indent="1"/>
    </xf>
    <xf numFmtId="49" fontId="4" fillId="0" borderId="0" xfId="0" applyNumberFormat="1" applyFont="1" applyAlignment="1">
      <alignment vertical="center"/>
    </xf>
    <xf numFmtId="49" fontId="4" fillId="0" borderId="0" xfId="0" applyNumberFormat="1" applyFont="1" applyAlignment="1">
      <alignment vertical="center" wrapText="1"/>
    </xf>
    <xf numFmtId="0" fontId="4" fillId="0" borderId="0" xfId="0" applyFont="1" applyAlignment="1">
      <alignment vertical="center" wrapText="1"/>
    </xf>
    <xf numFmtId="0" fontId="0" fillId="0" borderId="0" xfId="0" applyAlignment="1">
      <alignment vertical="center"/>
    </xf>
    <xf numFmtId="0" fontId="13" fillId="0" borderId="0" xfId="0" applyFont="1" applyAlignment="1">
      <alignment horizontal="center" vertical="center" wrapText="1"/>
    </xf>
    <xf numFmtId="49" fontId="7" fillId="3" borderId="13" xfId="0" applyNumberFormat="1" applyFont="1" applyFill="1" applyBorder="1" applyAlignment="1">
      <alignment horizontal="center" vertical="center"/>
    </xf>
    <xf numFmtId="49" fontId="7" fillId="3" borderId="13" xfId="0" applyNumberFormat="1" applyFont="1" applyFill="1" applyBorder="1" applyAlignment="1">
      <alignment horizontal="center" vertical="center" wrapText="1"/>
    </xf>
    <xf numFmtId="0" fontId="7" fillId="3" borderId="13" xfId="0" applyFont="1" applyFill="1" applyBorder="1" applyAlignment="1">
      <alignment horizontal="center" vertical="center" wrapText="1"/>
    </xf>
    <xf numFmtId="0" fontId="7" fillId="0" borderId="0" xfId="0" applyFont="1" applyAlignment="1">
      <alignment vertical="center"/>
    </xf>
    <xf numFmtId="0" fontId="2" fillId="0" borderId="5" xfId="3" applyFont="1" applyBorder="1" applyAlignment="1">
      <alignment horizontal="center" vertical="top" wrapText="1"/>
    </xf>
    <xf numFmtId="14" fontId="2" fillId="0" borderId="5" xfId="0" applyNumberFormat="1" applyFont="1" applyBorder="1" applyAlignment="1">
      <alignment horizontal="center" vertical="top" wrapText="1"/>
    </xf>
    <xf numFmtId="0" fontId="2" fillId="0" borderId="0" xfId="0" applyFont="1" applyAlignment="1">
      <alignment vertical="center"/>
    </xf>
    <xf numFmtId="0" fontId="2" fillId="0" borderId="5" xfId="3" applyFont="1" applyBorder="1" applyAlignment="1">
      <alignment horizontal="center" vertical="top"/>
    </xf>
    <xf numFmtId="49" fontId="4" fillId="0" borderId="0" xfId="0" applyNumberFormat="1" applyFont="1" applyAlignment="1">
      <alignment horizontal="center" vertical="center"/>
    </xf>
    <xf numFmtId="0" fontId="3" fillId="3" borderId="4" xfId="3" applyFont="1" applyFill="1" applyBorder="1" applyAlignment="1">
      <alignment horizontal="left"/>
    </xf>
    <xf numFmtId="14" fontId="4" fillId="0" borderId="5" xfId="0" applyNumberFormat="1" applyFont="1" applyBorder="1" applyAlignment="1">
      <alignment horizontal="left" vertical="top" wrapText="1" indent="1"/>
    </xf>
    <xf numFmtId="0" fontId="4" fillId="4" borderId="5" xfId="3" applyFont="1" applyFill="1" applyBorder="1" applyAlignment="1">
      <alignment horizontal="left" vertical="center" wrapText="1" indent="1"/>
    </xf>
    <xf numFmtId="0" fontId="8" fillId="3" borderId="4" xfId="3" applyFont="1" applyFill="1" applyBorder="1"/>
    <xf numFmtId="0" fontId="8" fillId="3" borderId="4" xfId="3" applyFont="1" applyFill="1" applyBorder="1" applyAlignment="1">
      <alignment horizontal="left" vertical="center" wrapText="1"/>
    </xf>
    <xf numFmtId="0" fontId="4" fillId="0" borderId="5" xfId="0" applyFont="1" applyBorder="1" applyAlignment="1">
      <alignment horizontal="left" wrapText="1" indent="1"/>
    </xf>
    <xf numFmtId="49" fontId="7" fillId="5" borderId="13" xfId="0" applyNumberFormat="1" applyFont="1" applyFill="1" applyBorder="1" applyAlignment="1">
      <alignment horizontal="center" vertical="center"/>
    </xf>
    <xf numFmtId="49" fontId="7" fillId="5" borderId="13" xfId="0" applyNumberFormat="1" applyFont="1" applyFill="1" applyBorder="1" applyAlignment="1">
      <alignment horizontal="center" vertical="center" wrapText="1"/>
    </xf>
    <xf numFmtId="0" fontId="7" fillId="5" borderId="13" xfId="0" applyFont="1" applyFill="1" applyBorder="1" applyAlignment="1">
      <alignment horizontal="center" vertical="center" wrapText="1"/>
    </xf>
    <xf numFmtId="0" fontId="17" fillId="0" borderId="5" xfId="3" applyFont="1" applyBorder="1" applyAlignment="1">
      <alignment horizontal="center" vertical="top" wrapText="1"/>
    </xf>
    <xf numFmtId="0" fontId="17" fillId="0" borderId="5" xfId="0" applyFont="1" applyBorder="1" applyAlignment="1">
      <alignment vertical="top" wrapText="1"/>
    </xf>
    <xf numFmtId="14" fontId="19" fillId="2" borderId="1" xfId="4" applyNumberFormat="1" applyAlignment="1" applyProtection="1">
      <alignment horizontal="center" vertical="top" wrapText="1"/>
    </xf>
    <xf numFmtId="14" fontId="19" fillId="6" borderId="1" xfId="4" applyNumberFormat="1" applyFill="1" applyAlignment="1" applyProtection="1">
      <alignment horizontal="center" vertical="top" wrapText="1"/>
    </xf>
    <xf numFmtId="0" fontId="22" fillId="0" borderId="0" xfId="5"/>
    <xf numFmtId="0" fontId="22" fillId="0" borderId="5" xfId="5" applyBorder="1" applyAlignment="1">
      <alignment horizontal="left" wrapText="1" indent="1"/>
    </xf>
    <xf numFmtId="0" fontId="23" fillId="0" borderId="0" xfId="0" applyFont="1"/>
    <xf numFmtId="0" fontId="24" fillId="0" borderId="14" xfId="0" applyFont="1" applyBorder="1" applyAlignment="1">
      <alignment vertical="center" wrapText="1"/>
    </xf>
    <xf numFmtId="0" fontId="5" fillId="3" borderId="4" xfId="0" applyFont="1" applyFill="1" applyBorder="1" applyAlignment="1">
      <alignment horizontal="center" vertical="center" wrapText="1"/>
    </xf>
    <xf numFmtId="0" fontId="2" fillId="0" borderId="5" xfId="0" applyFont="1" applyBorder="1" applyAlignment="1">
      <alignment horizontal="center" vertical="top" wrapText="1"/>
    </xf>
    <xf numFmtId="0" fontId="2" fillId="0" borderId="6" xfId="0" applyFont="1" applyBorder="1" applyAlignment="1">
      <alignment horizontal="left" vertical="center" wrapText="1"/>
    </xf>
    <xf numFmtId="0" fontId="2" fillId="0" borderId="5" xfId="0" applyFont="1" applyBorder="1" applyAlignment="1">
      <alignment horizontal="left" vertical="top" wrapText="1"/>
    </xf>
    <xf numFmtId="0" fontId="5" fillId="0" borderId="5" xfId="0" applyFont="1" applyBorder="1" applyAlignment="1">
      <alignment horizontal="left" vertical="center" wrapText="1"/>
    </xf>
    <xf numFmtId="0" fontId="2" fillId="0" borderId="5" xfId="3" applyFont="1" applyBorder="1" applyAlignment="1">
      <alignment horizontal="left" vertical="center" wrapText="1"/>
    </xf>
    <xf numFmtId="0" fontId="4" fillId="0" borderId="5" xfId="3" applyFont="1" applyBorder="1" applyAlignment="1">
      <alignment horizontal="left" vertical="top" wrapText="1"/>
    </xf>
    <xf numFmtId="0" fontId="5" fillId="3" borderId="5" xfId="3" applyFont="1" applyFill="1" applyBorder="1" applyAlignment="1">
      <alignment horizontal="center" vertical="center" wrapText="1"/>
    </xf>
    <xf numFmtId="0" fontId="7" fillId="3" borderId="5" xfId="0" applyFont="1" applyFill="1" applyBorder="1" applyAlignment="1">
      <alignment horizontal="center" vertical="center" wrapText="1"/>
    </xf>
    <xf numFmtId="0" fontId="4" fillId="0" borderId="5" xfId="0" applyFont="1" applyBorder="1" applyAlignment="1">
      <alignment horizontal="left" vertical="top" wrapText="1" indent="1"/>
    </xf>
    <xf numFmtId="0" fontId="14" fillId="0" borderId="0" xfId="3" applyFont="1" applyBorder="1" applyAlignment="1">
      <alignment horizontal="center" vertical="center"/>
    </xf>
    <xf numFmtId="0" fontId="5" fillId="3" borderId="5" xfId="0" applyFont="1" applyFill="1" applyBorder="1" applyAlignment="1">
      <alignment horizontal="center" vertical="center"/>
    </xf>
    <xf numFmtId="0" fontId="14" fillId="5" borderId="8" xfId="3" applyFont="1" applyFill="1" applyBorder="1" applyAlignment="1">
      <alignment horizontal="center" vertical="center"/>
    </xf>
  </cellXfs>
  <cellStyles count="6">
    <cellStyle name=" 1" xfId="1" xr:uid="{00000000-0005-0000-0000-000006000000}"/>
    <cellStyle name="Excel Built-in Input" xfId="4" xr:uid="{00000000-0005-0000-0000-000009000000}"/>
    <cellStyle name="Link" xfId="5" builtinId="8"/>
    <cellStyle name="Standard" xfId="0" builtinId="0"/>
    <cellStyle name="Standard 2" xfId="2" xr:uid="{00000000-0005-0000-0000-000007000000}"/>
    <cellStyle name="Standard_Reviewtemplate_Firma1_filled_in_example" xfId="3" xr:uid="{00000000-0005-0000-0000-000008000000}"/>
  </cellStyles>
  <dxfs count="9">
    <dxf>
      <fill>
        <patternFill>
          <bgColor rgb="FFFFFF99"/>
        </patternFill>
      </fill>
    </dxf>
    <dxf>
      <font>
        <color rgb="FFFFFFFF"/>
      </font>
      <fill>
        <patternFill>
          <bgColor rgb="FFFFFF00"/>
        </patternFill>
      </fill>
    </dxf>
    <dxf>
      <font>
        <color rgb="FFFFFFFF"/>
      </font>
      <fill>
        <patternFill>
          <bgColor rgb="FFFF9900"/>
        </patternFill>
      </fill>
    </dxf>
    <dxf>
      <font>
        <color rgb="FFFFFFFF"/>
      </font>
      <fill>
        <patternFill>
          <bgColor rgb="FFCCFFFF"/>
        </patternFill>
      </fill>
    </dxf>
    <dxf>
      <fill>
        <patternFill>
          <bgColor rgb="FFFFFF99"/>
        </patternFill>
      </fill>
    </dxf>
    <dxf>
      <font>
        <color rgb="FFFFFFFF"/>
      </font>
      <fill>
        <patternFill>
          <bgColor rgb="FFFFFF00"/>
        </patternFill>
      </fill>
    </dxf>
    <dxf>
      <font>
        <color rgb="FFFFFFFF"/>
      </font>
      <fill>
        <patternFill>
          <bgColor rgb="FFFF9900"/>
        </patternFill>
      </fill>
    </dxf>
    <dxf>
      <font>
        <color rgb="FFFFFFFF"/>
      </font>
      <fill>
        <patternFill>
          <bgColor rgb="FFCCFFFF"/>
        </patternFill>
      </fill>
    </dxf>
    <dxf>
      <fill>
        <patternFill>
          <bgColor rgb="FFFFFF99"/>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9C9C9"/>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5F5FB"/>
      <rgbColor rgb="FFDEEBC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F3F7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xdr:from>
      <xdr:col>3</xdr:col>
      <xdr:colOff>961920</xdr:colOff>
      <xdr:row>0</xdr:row>
      <xdr:rowOff>57240</xdr:rowOff>
    </xdr:from>
    <xdr:to>
      <xdr:col>3</xdr:col>
      <xdr:colOff>3028320</xdr:colOff>
      <xdr:row>0</xdr:row>
      <xdr:rowOff>266400</xdr:rowOff>
    </xdr:to>
    <xdr:pic>
      <xdr:nvPicPr>
        <xdr:cNvPr id="2" name="Picture 29" descr="RC-Logo-RZ-PPT-23x200">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3651120" y="57240"/>
          <a:ext cx="2066400" cy="209160"/>
        </a:xfrm>
        <a:prstGeom prst="rect">
          <a:avLst/>
        </a:prstGeom>
        <a:ln w="9525">
          <a:noFill/>
        </a:ln>
      </xdr:spPr>
    </xdr:pic>
    <xdr:clientData/>
  </xdr:twoCellAnchor>
  <xdr:twoCellAnchor>
    <xdr:from>
      <xdr:col>3</xdr:col>
      <xdr:colOff>723960</xdr:colOff>
      <xdr:row>66</xdr:row>
      <xdr:rowOff>76320</xdr:rowOff>
    </xdr:from>
    <xdr:to>
      <xdr:col>3</xdr:col>
      <xdr:colOff>2142720</xdr:colOff>
      <xdr:row>72</xdr:row>
      <xdr:rowOff>18720</xdr:rowOff>
    </xdr:to>
    <xdr:pic>
      <xdr:nvPicPr>
        <xdr:cNvPr id="3" name="Picture 58">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xdr:blipFill>
      <xdr:spPr>
        <a:xfrm>
          <a:off x="3413160" y="1571760"/>
          <a:ext cx="1418760" cy="914040"/>
        </a:xfrm>
        <a:prstGeom prst="rect">
          <a:avLst/>
        </a:prstGeom>
        <a:ln w="9525">
          <a:noFill/>
        </a:ln>
      </xdr:spPr>
    </xdr:pic>
    <xdr:clientData/>
  </xdr:twoCellAnchor>
  <xdr:twoCellAnchor>
    <xdr:from>
      <xdr:col>3</xdr:col>
      <xdr:colOff>1066680</xdr:colOff>
      <xdr:row>66</xdr:row>
      <xdr:rowOff>85680</xdr:rowOff>
    </xdr:from>
    <xdr:to>
      <xdr:col>3</xdr:col>
      <xdr:colOff>1866600</xdr:colOff>
      <xdr:row>69</xdr:row>
      <xdr:rowOff>66240</xdr:rowOff>
    </xdr:to>
    <xdr:pic>
      <xdr:nvPicPr>
        <xdr:cNvPr id="4" name="Picture 58">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a:stretch/>
      </xdr:blipFill>
      <xdr:spPr>
        <a:xfrm>
          <a:off x="3755880" y="1581120"/>
          <a:ext cx="799920" cy="466200"/>
        </a:xfrm>
        <a:prstGeom prst="rect">
          <a:avLst/>
        </a:prstGeom>
        <a:ln w="1">
          <a:noFill/>
        </a:ln>
      </xdr:spPr>
    </xdr:pic>
    <xdr:clientData/>
  </xdr:twoCellAnchor>
  <xdr:twoCellAnchor>
    <xdr:from>
      <xdr:col>2</xdr:col>
      <xdr:colOff>257040</xdr:colOff>
      <xdr:row>68</xdr:row>
      <xdr:rowOff>37800</xdr:rowOff>
    </xdr:from>
    <xdr:to>
      <xdr:col>2</xdr:col>
      <xdr:colOff>951840</xdr:colOff>
      <xdr:row>70</xdr:row>
      <xdr:rowOff>47160</xdr:rowOff>
    </xdr:to>
    <xdr:pic>
      <xdr:nvPicPr>
        <xdr:cNvPr id="5" name="Picture 34">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a:stretch/>
      </xdr:blipFill>
      <xdr:spPr>
        <a:xfrm>
          <a:off x="1666080" y="1857240"/>
          <a:ext cx="694800" cy="333000"/>
        </a:xfrm>
        <a:prstGeom prst="rect">
          <a:avLst/>
        </a:prstGeom>
        <a:ln w="1">
          <a:noFill/>
        </a:ln>
      </xdr:spPr>
    </xdr:pic>
    <xdr:clientData/>
  </xdr:twoCellAnchor>
  <xdr:twoCellAnchor>
    <xdr:from>
      <xdr:col>1</xdr:col>
      <xdr:colOff>38160</xdr:colOff>
      <xdr:row>68</xdr:row>
      <xdr:rowOff>37800</xdr:rowOff>
    </xdr:from>
    <xdr:to>
      <xdr:col>1</xdr:col>
      <xdr:colOff>704520</xdr:colOff>
      <xdr:row>70</xdr:row>
      <xdr:rowOff>18720</xdr:rowOff>
    </xdr:to>
    <xdr:pic>
      <xdr:nvPicPr>
        <xdr:cNvPr id="6" name="Picture 48">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a:stretch/>
      </xdr:blipFill>
      <xdr:spPr>
        <a:xfrm>
          <a:off x="660600" y="1857240"/>
          <a:ext cx="666360" cy="304560"/>
        </a:xfrm>
        <a:prstGeom prst="rect">
          <a:avLst/>
        </a:prstGeom>
        <a:ln w="1">
          <a:noFill/>
        </a:ln>
      </xdr:spPr>
    </xdr:pic>
    <xdr:clientData/>
  </xdr:twoCellAnchor>
  <xdr:twoCellAnchor>
    <xdr:from>
      <xdr:col>2</xdr:col>
      <xdr:colOff>371520</xdr:colOff>
      <xdr:row>66</xdr:row>
      <xdr:rowOff>76320</xdr:rowOff>
    </xdr:from>
    <xdr:to>
      <xdr:col>3</xdr:col>
      <xdr:colOff>1628640</xdr:colOff>
      <xdr:row>67</xdr:row>
      <xdr:rowOff>37800</xdr:rowOff>
    </xdr:to>
    <xdr:pic>
      <xdr:nvPicPr>
        <xdr:cNvPr id="7" name="Picture 48">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6"/>
        <a:stretch/>
      </xdr:blipFill>
      <xdr:spPr>
        <a:xfrm>
          <a:off x="1780560" y="1571760"/>
          <a:ext cx="2537280" cy="123480"/>
        </a:xfrm>
        <a:prstGeom prst="rect">
          <a:avLst/>
        </a:prstGeom>
        <a:ln w="1">
          <a:noFill/>
        </a:ln>
      </xdr:spPr>
    </xdr:pic>
    <xdr:clientData/>
  </xdr:twoCellAnchor>
  <xdr:twoCellAnchor>
    <xdr:from>
      <xdr:col>2</xdr:col>
      <xdr:colOff>324000</xdr:colOff>
      <xdr:row>66</xdr:row>
      <xdr:rowOff>28440</xdr:rowOff>
    </xdr:from>
    <xdr:to>
      <xdr:col>2</xdr:col>
      <xdr:colOff>895320</xdr:colOff>
      <xdr:row>69</xdr:row>
      <xdr:rowOff>95040</xdr:rowOff>
    </xdr:to>
    <xdr:pic>
      <xdr:nvPicPr>
        <xdr:cNvPr id="8" name="Picture 107">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7"/>
        <a:stretch/>
      </xdr:blipFill>
      <xdr:spPr>
        <a:xfrm>
          <a:off x="1733040" y="1523880"/>
          <a:ext cx="571320" cy="552240"/>
        </a:xfrm>
        <a:prstGeom prst="rect">
          <a:avLst/>
        </a:prstGeom>
        <a:ln w="1">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2009880</xdr:colOff>
      <xdr:row>0</xdr:row>
      <xdr:rowOff>57240</xdr:rowOff>
    </xdr:from>
    <xdr:to>
      <xdr:col>2</xdr:col>
      <xdr:colOff>609480</xdr:colOff>
      <xdr:row>0</xdr:row>
      <xdr:rowOff>266400</xdr:rowOff>
    </xdr:to>
    <xdr:pic>
      <xdr:nvPicPr>
        <xdr:cNvPr id="7" name="Picture 29" descr="RC-Logo-RZ-PPT-23x200">
          <a:extLst>
            <a:ext uri="{FF2B5EF4-FFF2-40B4-BE49-F238E27FC236}">
              <a16:creationId xmlns:a16="http://schemas.microsoft.com/office/drawing/2014/main" id="{00000000-0008-0000-0100-000007000000}"/>
            </a:ext>
          </a:extLst>
        </xdr:cNvPr>
        <xdr:cNvPicPr/>
      </xdr:nvPicPr>
      <xdr:blipFill>
        <a:blip xmlns:r="http://schemas.openxmlformats.org/officeDocument/2006/relationships" r:embed="rId1"/>
        <a:stretch/>
      </xdr:blipFill>
      <xdr:spPr>
        <a:xfrm>
          <a:off x="3830400" y="57240"/>
          <a:ext cx="2264760" cy="209160"/>
        </a:xfrm>
        <a:prstGeom prst="rect">
          <a:avLst/>
        </a:prstGeom>
        <a:ln w="9525">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1104840</xdr:colOff>
      <xdr:row>0</xdr:row>
      <xdr:rowOff>57240</xdr:rowOff>
    </xdr:from>
    <xdr:to>
      <xdr:col>9</xdr:col>
      <xdr:colOff>628200</xdr:colOff>
      <xdr:row>0</xdr:row>
      <xdr:rowOff>266400</xdr:rowOff>
    </xdr:to>
    <xdr:pic>
      <xdr:nvPicPr>
        <xdr:cNvPr id="8" name="Picture 29" descr="RC-Logo-RZ-PPT-23x200">
          <a:extLst>
            <a:ext uri="{FF2B5EF4-FFF2-40B4-BE49-F238E27FC236}">
              <a16:creationId xmlns:a16="http://schemas.microsoft.com/office/drawing/2014/main" id="{00000000-0008-0000-0200-000008000000}"/>
            </a:ext>
          </a:extLst>
        </xdr:cNvPr>
        <xdr:cNvPicPr/>
      </xdr:nvPicPr>
      <xdr:blipFill>
        <a:blip xmlns:r="http://schemas.openxmlformats.org/officeDocument/2006/relationships" r:embed="rId1"/>
        <a:stretch/>
      </xdr:blipFill>
      <xdr:spPr>
        <a:xfrm>
          <a:off x="7671960" y="57240"/>
          <a:ext cx="2013840" cy="209160"/>
        </a:xfrm>
        <a:prstGeom prst="rect">
          <a:avLst/>
        </a:prstGeom>
        <a:ln w="9525">
          <a:no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2009880</xdr:colOff>
      <xdr:row>0</xdr:row>
      <xdr:rowOff>57240</xdr:rowOff>
    </xdr:from>
    <xdr:to>
      <xdr:col>1</xdr:col>
      <xdr:colOff>4076280</xdr:colOff>
      <xdr:row>0</xdr:row>
      <xdr:rowOff>266400</xdr:rowOff>
    </xdr:to>
    <xdr:pic>
      <xdr:nvPicPr>
        <xdr:cNvPr id="9" name="Picture 29" descr="RC-Logo-RZ-PPT-23x200">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1"/>
        <a:stretch/>
      </xdr:blipFill>
      <xdr:spPr>
        <a:xfrm>
          <a:off x="4100760" y="57240"/>
          <a:ext cx="2066400" cy="209160"/>
        </a:xfrm>
        <a:prstGeom prst="rect">
          <a:avLst/>
        </a:prstGeom>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409680</xdr:colOff>
      <xdr:row>98</xdr:row>
      <xdr:rowOff>266760</xdr:rowOff>
    </xdr:from>
    <xdr:to>
      <xdr:col>15</xdr:col>
      <xdr:colOff>9360</xdr:colOff>
      <xdr:row>100</xdr:row>
      <xdr:rowOff>488160</xdr:rowOff>
    </xdr:to>
    <xdr:pic>
      <xdr:nvPicPr>
        <xdr:cNvPr id="10" name="Picture 36" descr="clip_image002">
          <a:extLst>
            <a:ext uri="{FF2B5EF4-FFF2-40B4-BE49-F238E27FC236}">
              <a16:creationId xmlns:a16="http://schemas.microsoft.com/office/drawing/2014/main" id="{00000000-0008-0000-0400-00000A000000}"/>
            </a:ext>
          </a:extLst>
        </xdr:cNvPr>
        <xdr:cNvPicPr/>
      </xdr:nvPicPr>
      <xdr:blipFill>
        <a:blip xmlns:r="http://schemas.openxmlformats.org/officeDocument/2006/relationships" r:embed="rId1"/>
        <a:stretch/>
      </xdr:blipFill>
      <xdr:spPr>
        <a:xfrm>
          <a:off x="11593800" y="58055040"/>
          <a:ext cx="3654360" cy="1107000"/>
        </a:xfrm>
        <a:prstGeom prst="rect">
          <a:avLst/>
        </a:prstGeom>
        <a:ln w="9525">
          <a:noFill/>
        </a:ln>
      </xdr:spPr>
    </xdr:pic>
    <xdr:clientData/>
  </xdr:twoCellAnchor>
  <xdr:twoCellAnchor>
    <xdr:from>
      <xdr:col>10</xdr:col>
      <xdr:colOff>108000</xdr:colOff>
      <xdr:row>139</xdr:row>
      <xdr:rowOff>93960</xdr:rowOff>
    </xdr:from>
    <xdr:to>
      <xdr:col>15</xdr:col>
      <xdr:colOff>406080</xdr:colOff>
      <xdr:row>140</xdr:row>
      <xdr:rowOff>175320</xdr:rowOff>
    </xdr:to>
    <xdr:pic>
      <xdr:nvPicPr>
        <xdr:cNvPr id="11" name="Grafik 1">
          <a:extLst>
            <a:ext uri="{FF2B5EF4-FFF2-40B4-BE49-F238E27FC236}">
              <a16:creationId xmlns:a16="http://schemas.microsoft.com/office/drawing/2014/main" id="{00000000-0008-0000-0400-00000B000000}"/>
            </a:ext>
          </a:extLst>
        </xdr:cNvPr>
        <xdr:cNvPicPr/>
      </xdr:nvPicPr>
      <xdr:blipFill>
        <a:blip xmlns:r="http://schemas.openxmlformats.org/officeDocument/2006/relationships" r:embed="rId2"/>
        <a:stretch/>
      </xdr:blipFill>
      <xdr:spPr>
        <a:xfrm>
          <a:off x="11292120" y="85066560"/>
          <a:ext cx="4352760" cy="786240"/>
        </a:xfrm>
        <a:prstGeom prst="rect">
          <a:avLst/>
        </a:prstGeom>
        <a:ln w="0">
          <a:noFill/>
        </a:ln>
      </xdr:spPr>
    </xdr:pic>
    <xdr:clientData/>
  </xdr:twoCellAnchor>
</xdr:wsDr>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hyperlink" Target="https://github.com/dgrewe-hse/studyconnect/tree/main/docs/use-cases.md" TargetMode="External"/><Relationship Id="rId7" Type="http://schemas.openxmlformats.org/officeDocument/2006/relationships/vmlDrawing" Target="../drawings/vmlDrawing2.vml"/><Relationship Id="rId2" Type="http://schemas.openxmlformats.org/officeDocument/2006/relationships/hyperlink" Target="https://github.com/dgrewe-hse/studyconnect/tree/main/docs/requirements.md" TargetMode="External"/><Relationship Id="rId1" Type="http://schemas.openxmlformats.org/officeDocument/2006/relationships/hyperlink" Target="https://github.com/dgrewe-hse/studyconnect/tree/main/docs/specs.md" TargetMode="External"/><Relationship Id="rId6" Type="http://schemas.openxmlformats.org/officeDocument/2006/relationships/drawing" Target="../drawings/drawing2.xml"/><Relationship Id="rId5" Type="http://schemas.openxmlformats.org/officeDocument/2006/relationships/hyperlink" Target="https://github.com/hs-esslingen-softwaretesting-gruppe-4/studyconnect/tree/main/docs/user-stories" TargetMode="External"/><Relationship Id="rId4" Type="http://schemas.openxmlformats.org/officeDocument/2006/relationships/hyperlink" Target="https://github.com/hs-esslingen-softwaretesting-gruppe-4/studyconnect/tree/main/docs/use-case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67"/>
  <sheetViews>
    <sheetView showGridLines="0" zoomScaleNormal="100" workbookViewId="0">
      <selection activeCell="A9" sqref="A9:D9"/>
    </sheetView>
  </sheetViews>
  <sheetFormatPr baseColWidth="10" defaultColWidth="11.42578125" defaultRowHeight="12.75" outlineLevelRow="1" x14ac:dyDescent="0.2"/>
  <cols>
    <col min="1" max="1" width="8.85546875" style="4" customWidth="1"/>
    <col min="2" max="2" width="11.140625" style="4" customWidth="1"/>
    <col min="3" max="3" width="18.140625" style="4" customWidth="1"/>
    <col min="4" max="4" width="46.140625" style="4" customWidth="1"/>
    <col min="5" max="5" width="11.42578125" style="4"/>
    <col min="6" max="6" width="25.85546875" style="4" customWidth="1"/>
    <col min="7" max="16384" width="11.42578125" style="4"/>
  </cols>
  <sheetData>
    <row r="1" spans="1:5" ht="24.75" customHeight="1" x14ac:dyDescent="0.2"/>
    <row r="2" spans="1:5" ht="27.75" customHeight="1" x14ac:dyDescent="0.35">
      <c r="A2" s="5" t="s">
        <v>0</v>
      </c>
      <c r="B2" s="6"/>
      <c r="C2" s="7"/>
      <c r="D2" s="8"/>
    </row>
    <row r="4" spans="1:5" ht="14.25" hidden="1" outlineLevel="1" x14ac:dyDescent="0.2">
      <c r="A4" s="2">
        <v>1</v>
      </c>
      <c r="B4" s="92"/>
      <c r="C4" s="92"/>
      <c r="D4" s="92"/>
    </row>
    <row r="5" spans="1:5" ht="14.25" hidden="1" outlineLevel="1" x14ac:dyDescent="0.2">
      <c r="A5" s="2">
        <v>2</v>
      </c>
      <c r="B5" s="92"/>
      <c r="C5" s="92"/>
      <c r="D5" s="92"/>
    </row>
    <row r="6" spans="1:5" ht="14.25" hidden="1" outlineLevel="1" x14ac:dyDescent="0.2">
      <c r="A6" s="2">
        <v>3</v>
      </c>
      <c r="B6" s="92"/>
      <c r="C6" s="92"/>
      <c r="D6" s="92"/>
    </row>
    <row r="7" spans="1:5" hidden="1" outlineLevel="1" x14ac:dyDescent="0.2"/>
    <row r="8" spans="1:5" collapsed="1" x14ac:dyDescent="0.2"/>
    <row r="9" spans="1:5" ht="14.25" customHeight="1" x14ac:dyDescent="0.2">
      <c r="A9" s="93" t="s">
        <v>1</v>
      </c>
      <c r="B9" s="93"/>
      <c r="C9" s="93"/>
      <c r="D9" s="93"/>
      <c r="E9" s="9"/>
    </row>
    <row r="10" spans="1:5" ht="12.75" hidden="1" customHeight="1" outlineLevel="1" x14ac:dyDescent="0.2">
      <c r="A10" s="94" t="s">
        <v>2</v>
      </c>
      <c r="B10" s="94"/>
      <c r="C10" s="94" t="s">
        <v>3</v>
      </c>
      <c r="D10" s="94"/>
    </row>
    <row r="11" spans="1:5" ht="81.75" hidden="1" customHeight="1" outlineLevel="1" x14ac:dyDescent="0.2">
      <c r="A11" s="90" t="s">
        <v>4</v>
      </c>
      <c r="B11" s="90"/>
      <c r="C11" s="91" t="s">
        <v>5</v>
      </c>
      <c r="D11" s="91"/>
    </row>
    <row r="12" spans="1:5" ht="55.5" hidden="1" customHeight="1" outlineLevel="1" x14ac:dyDescent="0.2">
      <c r="A12" s="90" t="s">
        <v>6</v>
      </c>
      <c r="B12" s="90"/>
      <c r="C12" s="91" t="s">
        <v>7</v>
      </c>
      <c r="D12" s="91"/>
    </row>
    <row r="13" spans="1:5" ht="78" hidden="1" customHeight="1" outlineLevel="1" x14ac:dyDescent="0.2">
      <c r="A13" s="90" t="s">
        <v>8</v>
      </c>
      <c r="B13" s="90"/>
      <c r="C13" s="91" t="s">
        <v>9</v>
      </c>
      <c r="D13" s="91"/>
    </row>
    <row r="14" spans="1:5" ht="109.5" hidden="1" customHeight="1" outlineLevel="1" x14ac:dyDescent="0.2">
      <c r="A14" s="90" t="s">
        <v>10</v>
      </c>
      <c r="B14" s="90"/>
      <c r="C14" s="91" t="s">
        <v>11</v>
      </c>
      <c r="D14" s="91"/>
      <c r="E14" s="9"/>
    </row>
    <row r="15" spans="1:5" ht="57.75" hidden="1" customHeight="1" outlineLevel="1" x14ac:dyDescent="0.2">
      <c r="A15" s="90" t="s">
        <v>12</v>
      </c>
      <c r="B15" s="90"/>
      <c r="C15" s="91" t="s">
        <v>13</v>
      </c>
      <c r="D15" s="91"/>
    </row>
    <row r="16" spans="1:5" ht="96" hidden="1" customHeight="1" outlineLevel="1" x14ac:dyDescent="0.2">
      <c r="A16" s="90" t="s">
        <v>14</v>
      </c>
      <c r="B16" s="90"/>
      <c r="C16" s="91" t="s">
        <v>15</v>
      </c>
      <c r="D16" s="91"/>
    </row>
    <row r="17" spans="1:4" hidden="1" outlineLevel="1" x14ac:dyDescent="0.2"/>
    <row r="18" spans="1:4" collapsed="1" x14ac:dyDescent="0.2"/>
    <row r="19" spans="1:4" ht="25.5" hidden="1" customHeight="1" outlineLevel="1" x14ac:dyDescent="0.2">
      <c r="A19" s="10" t="s">
        <v>16</v>
      </c>
      <c r="B19" s="10" t="s">
        <v>17</v>
      </c>
      <c r="C19" s="10" t="s">
        <v>18</v>
      </c>
      <c r="D19" s="10" t="s">
        <v>19</v>
      </c>
    </row>
    <row r="20" spans="1:4" hidden="1" outlineLevel="1" x14ac:dyDescent="0.2">
      <c r="A20" s="11"/>
      <c r="B20" s="12"/>
      <c r="C20" s="3"/>
      <c r="D20" s="13"/>
    </row>
    <row r="21" spans="1:4" ht="25.5" hidden="1" outlineLevel="1" x14ac:dyDescent="0.2">
      <c r="A21" s="11" t="s">
        <v>20</v>
      </c>
      <c r="B21" s="12">
        <v>42268</v>
      </c>
      <c r="C21" s="3" t="s">
        <v>21</v>
      </c>
      <c r="D21" s="13" t="s">
        <v>22</v>
      </c>
    </row>
    <row r="22" spans="1:4" ht="38.25" hidden="1" outlineLevel="1" x14ac:dyDescent="0.2">
      <c r="A22" s="11" t="s">
        <v>20</v>
      </c>
      <c r="B22" s="12">
        <v>41811</v>
      </c>
      <c r="C22" s="3" t="s">
        <v>21</v>
      </c>
      <c r="D22" s="13" t="s">
        <v>23</v>
      </c>
    </row>
    <row r="23" spans="1:4" hidden="1" outlineLevel="1" x14ac:dyDescent="0.2">
      <c r="A23" s="11" t="s">
        <v>24</v>
      </c>
      <c r="B23" s="12">
        <v>41769</v>
      </c>
      <c r="C23" s="3" t="s">
        <v>25</v>
      </c>
      <c r="D23" s="13" t="s">
        <v>26</v>
      </c>
    </row>
    <row r="24" spans="1:4" hidden="1" outlineLevel="1" x14ac:dyDescent="0.2">
      <c r="A24" s="11" t="s">
        <v>24</v>
      </c>
      <c r="B24" s="12">
        <v>41579</v>
      </c>
      <c r="C24" s="3" t="s">
        <v>25</v>
      </c>
      <c r="D24" s="13" t="s">
        <v>27</v>
      </c>
    </row>
    <row r="25" spans="1:4" hidden="1" outlineLevel="1" x14ac:dyDescent="0.2">
      <c r="A25" s="11" t="s">
        <v>24</v>
      </c>
      <c r="B25" s="12">
        <v>41357</v>
      </c>
      <c r="C25" s="3" t="s">
        <v>25</v>
      </c>
      <c r="D25" s="13" t="s">
        <v>28</v>
      </c>
    </row>
    <row r="26" spans="1:4" hidden="1" outlineLevel="1" x14ac:dyDescent="0.2">
      <c r="A26" s="11" t="s">
        <v>24</v>
      </c>
      <c r="B26" s="12">
        <v>41345</v>
      </c>
      <c r="C26" s="3" t="s">
        <v>25</v>
      </c>
      <c r="D26" s="13" t="s">
        <v>29</v>
      </c>
    </row>
    <row r="27" spans="1:4" ht="25.5" hidden="1" outlineLevel="1" x14ac:dyDescent="0.2">
      <c r="A27" s="11" t="s">
        <v>30</v>
      </c>
      <c r="B27" s="12">
        <v>41342</v>
      </c>
      <c r="C27" s="3" t="s">
        <v>25</v>
      </c>
      <c r="D27" s="13" t="s">
        <v>31</v>
      </c>
    </row>
    <row r="28" spans="1:4" hidden="1" outlineLevel="1" x14ac:dyDescent="0.2">
      <c r="A28" s="11" t="s">
        <v>30</v>
      </c>
      <c r="B28" s="12">
        <v>41332</v>
      </c>
      <c r="C28" s="3" t="s">
        <v>25</v>
      </c>
      <c r="D28" s="13" t="s">
        <v>32</v>
      </c>
    </row>
    <row r="29" spans="1:4" ht="25.5" hidden="1" outlineLevel="1" x14ac:dyDescent="0.2">
      <c r="A29" s="11" t="s">
        <v>33</v>
      </c>
      <c r="B29" s="12">
        <v>41194</v>
      </c>
      <c r="C29" s="3" t="s">
        <v>25</v>
      </c>
      <c r="D29" s="13" t="s">
        <v>34</v>
      </c>
    </row>
    <row r="30" spans="1:4" ht="25.5" hidden="1" outlineLevel="1" x14ac:dyDescent="0.2">
      <c r="A30" s="11" t="s">
        <v>33</v>
      </c>
      <c r="B30" s="12">
        <v>41185</v>
      </c>
      <c r="C30" s="3" t="s">
        <v>25</v>
      </c>
      <c r="D30" s="13" t="s">
        <v>35</v>
      </c>
    </row>
    <row r="31" spans="1:4" hidden="1" outlineLevel="1" x14ac:dyDescent="0.2">
      <c r="A31" s="11" t="s">
        <v>36</v>
      </c>
      <c r="B31" s="12">
        <v>41147</v>
      </c>
      <c r="C31" s="3" t="s">
        <v>25</v>
      </c>
      <c r="D31" s="13" t="s">
        <v>37</v>
      </c>
    </row>
    <row r="32" spans="1:4" ht="25.5" hidden="1" outlineLevel="1" x14ac:dyDescent="0.2">
      <c r="A32" s="11" t="s">
        <v>38</v>
      </c>
      <c r="B32" s="12">
        <v>41136</v>
      </c>
      <c r="C32" s="3" t="s">
        <v>25</v>
      </c>
      <c r="D32" s="14" t="s">
        <v>39</v>
      </c>
    </row>
    <row r="33" spans="1:4" ht="25.5" hidden="1" outlineLevel="1" x14ac:dyDescent="0.2">
      <c r="A33" s="11" t="s">
        <v>40</v>
      </c>
      <c r="B33" s="12">
        <v>41129</v>
      </c>
      <c r="C33" s="3" t="s">
        <v>25</v>
      </c>
      <c r="D33" s="13" t="s">
        <v>41</v>
      </c>
    </row>
    <row r="34" spans="1:4" ht="25.5" hidden="1" outlineLevel="1" x14ac:dyDescent="0.2">
      <c r="A34" s="11" t="s">
        <v>40</v>
      </c>
      <c r="B34" s="12">
        <v>41101</v>
      </c>
      <c r="C34" s="3" t="s">
        <v>25</v>
      </c>
      <c r="D34" s="13" t="s">
        <v>42</v>
      </c>
    </row>
    <row r="35" spans="1:4" ht="51" hidden="1" outlineLevel="1" x14ac:dyDescent="0.2">
      <c r="A35" s="11" t="s">
        <v>43</v>
      </c>
      <c r="B35" s="12">
        <v>41088</v>
      </c>
      <c r="C35" s="3" t="s">
        <v>25</v>
      </c>
      <c r="D35" s="13" t="s">
        <v>44</v>
      </c>
    </row>
    <row r="36" spans="1:4" ht="76.5" hidden="1" outlineLevel="1" x14ac:dyDescent="0.2">
      <c r="A36" s="11" t="s">
        <v>45</v>
      </c>
      <c r="B36" s="12">
        <v>40890</v>
      </c>
      <c r="C36" s="3" t="s">
        <v>46</v>
      </c>
      <c r="D36" s="13" t="s">
        <v>47</v>
      </c>
    </row>
    <row r="37" spans="1:4" ht="41.25" hidden="1" customHeight="1" outlineLevel="1" x14ac:dyDescent="0.2">
      <c r="A37" s="88" t="s">
        <v>48</v>
      </c>
      <c r="B37" s="88"/>
      <c r="C37" s="88"/>
      <c r="D37" s="88"/>
    </row>
    <row r="38" spans="1:4" hidden="1" outlineLevel="1" x14ac:dyDescent="0.2"/>
    <row r="39" spans="1:4" collapsed="1" x14ac:dyDescent="0.2"/>
    <row r="40" spans="1:4" hidden="1" outlineLevel="1" x14ac:dyDescent="0.2"/>
    <row r="41" spans="1:4" hidden="1" outlineLevel="1" x14ac:dyDescent="0.2"/>
    <row r="42" spans="1:4" ht="12.75" hidden="1" customHeight="1" outlineLevel="1" x14ac:dyDescent="0.2">
      <c r="A42" s="86" t="s">
        <v>49</v>
      </c>
      <c r="B42" s="86"/>
      <c r="C42" s="86"/>
      <c r="D42" s="86"/>
    </row>
    <row r="43" spans="1:4" ht="15.75" hidden="1" customHeight="1" outlineLevel="1" x14ac:dyDescent="0.2">
      <c r="A43" s="15" t="s">
        <v>50</v>
      </c>
      <c r="B43" s="89" t="s">
        <v>51</v>
      </c>
      <c r="C43" s="89"/>
      <c r="D43" s="89"/>
    </row>
    <row r="44" spans="1:4" ht="15" hidden="1" customHeight="1" outlineLevel="1" x14ac:dyDescent="0.2">
      <c r="A44" s="16" t="s">
        <v>52</v>
      </c>
      <c r="B44" s="89" t="s">
        <v>53</v>
      </c>
      <c r="C44" s="89"/>
      <c r="D44" s="89"/>
    </row>
    <row r="45" spans="1:4" ht="15" hidden="1" customHeight="1" outlineLevel="1" x14ac:dyDescent="0.2">
      <c r="A45" s="17" t="str">
        <f>A44 &amp; "/h"</f>
        <v>pp/h</v>
      </c>
      <c r="B45" s="89" t="s">
        <v>54</v>
      </c>
      <c r="C45" s="89"/>
      <c r="D45" s="89"/>
    </row>
    <row r="46" spans="1:4" hidden="1" outlineLevel="1" x14ac:dyDescent="0.2">
      <c r="A46" s="18"/>
      <c r="B46" s="19"/>
      <c r="C46" s="20"/>
      <c r="D46" s="21"/>
    </row>
    <row r="47" spans="1:4" hidden="1" outlineLevel="1" x14ac:dyDescent="0.2">
      <c r="A47" s="22"/>
      <c r="B47" s="23"/>
      <c r="C47" s="24"/>
      <c r="D47" s="25"/>
    </row>
    <row r="48" spans="1:4" ht="12.75" hidden="1" customHeight="1" outlineLevel="1" x14ac:dyDescent="0.2">
      <c r="A48" s="86" t="s">
        <v>55</v>
      </c>
      <c r="B48" s="86"/>
      <c r="C48" s="86"/>
      <c r="D48" s="86"/>
    </row>
    <row r="49" spans="1:4" ht="22.5" hidden="1" customHeight="1" outlineLevel="1" x14ac:dyDescent="0.2">
      <c r="A49" s="26"/>
      <c r="B49" s="87"/>
      <c r="C49" s="87"/>
      <c r="D49" s="87"/>
    </row>
    <row r="50" spans="1:4" ht="47.25" hidden="1" customHeight="1" outlineLevel="1" x14ac:dyDescent="0.2">
      <c r="A50" s="27">
        <f>Size_of_Review_Object</f>
        <v>2121</v>
      </c>
      <c r="B50" s="2" t="s">
        <v>56</v>
      </c>
      <c r="C50" s="2"/>
      <c r="D50" s="13"/>
    </row>
    <row r="51" spans="1:4" ht="81" hidden="1" customHeight="1" outlineLevel="1" x14ac:dyDescent="0.2">
      <c r="A51" s="26"/>
      <c r="B51" s="2"/>
      <c r="C51" s="13"/>
      <c r="D51" s="26"/>
    </row>
    <row r="52" spans="1:4" hidden="1" outlineLevel="1" x14ac:dyDescent="0.2">
      <c r="A52" s="18"/>
      <c r="B52" s="19"/>
      <c r="C52" s="20"/>
      <c r="D52" s="21"/>
    </row>
    <row r="53" spans="1:4" hidden="1" outlineLevel="1" x14ac:dyDescent="0.2">
      <c r="A53" s="22"/>
      <c r="B53" s="23"/>
      <c r="C53" s="24"/>
      <c r="D53" s="25"/>
    </row>
    <row r="54" spans="1:4" ht="12.75" hidden="1" customHeight="1" outlineLevel="1" x14ac:dyDescent="0.2">
      <c r="A54" s="86" t="s">
        <v>57</v>
      </c>
      <c r="B54" s="86"/>
      <c r="C54" s="86"/>
      <c r="D54" s="86"/>
    </row>
    <row r="55" spans="1:4" hidden="1" outlineLevel="1" x14ac:dyDescent="0.2">
      <c r="A55" s="10" t="s">
        <v>58</v>
      </c>
      <c r="B55" s="10" t="s">
        <v>17</v>
      </c>
      <c r="C55" s="10" t="s">
        <v>59</v>
      </c>
      <c r="D55" s="10" t="s">
        <v>19</v>
      </c>
    </row>
    <row r="56" spans="1:4" ht="38.25" hidden="1" outlineLevel="1" x14ac:dyDescent="0.2">
      <c r="A56" s="2">
        <v>1</v>
      </c>
      <c r="B56" s="12">
        <v>41340</v>
      </c>
      <c r="C56" s="3" t="s">
        <v>25</v>
      </c>
      <c r="D56" s="13" t="s">
        <v>60</v>
      </c>
    </row>
    <row r="57" spans="1:4" ht="63.75" hidden="1" outlineLevel="1" x14ac:dyDescent="0.2">
      <c r="A57" s="2">
        <v>2</v>
      </c>
      <c r="B57" s="12">
        <v>41340</v>
      </c>
      <c r="C57" s="3" t="s">
        <v>25</v>
      </c>
      <c r="D57" s="13" t="s">
        <v>61</v>
      </c>
    </row>
    <row r="58" spans="1:4" ht="63.75" hidden="1" outlineLevel="1" x14ac:dyDescent="0.2">
      <c r="A58" s="2">
        <v>3</v>
      </c>
      <c r="B58" s="12">
        <v>41340</v>
      </c>
      <c r="C58" s="3" t="s">
        <v>25</v>
      </c>
      <c r="D58" s="13" t="s">
        <v>62</v>
      </c>
    </row>
    <row r="59" spans="1:4" ht="89.25" hidden="1" outlineLevel="1" x14ac:dyDescent="0.2">
      <c r="A59" s="2">
        <v>4</v>
      </c>
      <c r="B59" s="12">
        <v>41340</v>
      </c>
      <c r="C59" s="3" t="s">
        <v>25</v>
      </c>
      <c r="D59" s="13" t="s">
        <v>63</v>
      </c>
    </row>
    <row r="60" spans="1:4" ht="76.5" hidden="1" outlineLevel="1" x14ac:dyDescent="0.2">
      <c r="A60" s="2">
        <v>5</v>
      </c>
      <c r="B60" s="12">
        <v>41340</v>
      </c>
      <c r="C60" s="3" t="s">
        <v>25</v>
      </c>
      <c r="D60" s="13" t="s">
        <v>64</v>
      </c>
    </row>
    <row r="61" spans="1:4" ht="102" hidden="1" outlineLevel="1" x14ac:dyDescent="0.2">
      <c r="A61" s="2">
        <v>6</v>
      </c>
      <c r="B61" s="12">
        <v>41340</v>
      </c>
      <c r="C61" s="3" t="s">
        <v>25</v>
      </c>
      <c r="D61" s="13" t="s">
        <v>65</v>
      </c>
    </row>
    <row r="62" spans="1:4" ht="76.5" hidden="1" outlineLevel="1" x14ac:dyDescent="0.2">
      <c r="A62" s="2">
        <v>7</v>
      </c>
      <c r="B62" s="12">
        <v>41340</v>
      </c>
      <c r="C62" s="3" t="s">
        <v>25</v>
      </c>
      <c r="D62" s="13" t="s">
        <v>66</v>
      </c>
    </row>
    <row r="63" spans="1:4" ht="51" hidden="1" outlineLevel="1" x14ac:dyDescent="0.2">
      <c r="A63" s="2">
        <v>8</v>
      </c>
      <c r="B63" s="12">
        <v>41811</v>
      </c>
      <c r="C63" s="3" t="s">
        <v>21</v>
      </c>
      <c r="D63" s="13" t="s">
        <v>67</v>
      </c>
    </row>
    <row r="64" spans="1:4" hidden="1" outlineLevel="1" x14ac:dyDescent="0.2">
      <c r="A64" s="2">
        <v>9</v>
      </c>
      <c r="B64" s="12"/>
      <c r="C64" s="3"/>
      <c r="D64" s="13"/>
    </row>
    <row r="65" spans="1:4" hidden="1" outlineLevel="1" x14ac:dyDescent="0.2">
      <c r="A65" s="2">
        <v>10</v>
      </c>
      <c r="B65" s="12"/>
      <c r="C65" s="3"/>
      <c r="D65" s="13"/>
    </row>
    <row r="66" spans="1:4" hidden="1" outlineLevel="1" x14ac:dyDescent="0.2">
      <c r="A66" s="18"/>
      <c r="B66" s="19"/>
      <c r="C66" s="20"/>
      <c r="D66" s="21"/>
    </row>
    <row r="67" spans="1:4" collapsed="1" x14ac:dyDescent="0.2"/>
  </sheetData>
  <mergeCells count="26">
    <mergeCell ref="B4:D4"/>
    <mergeCell ref="B5:D5"/>
    <mergeCell ref="B6:D6"/>
    <mergeCell ref="A9:D9"/>
    <mergeCell ref="A10:B10"/>
    <mergeCell ref="C10:D10"/>
    <mergeCell ref="A11:B11"/>
    <mergeCell ref="C11:D11"/>
    <mergeCell ref="A12:B12"/>
    <mergeCell ref="C12:D12"/>
    <mergeCell ref="A13:B13"/>
    <mergeCell ref="C13:D13"/>
    <mergeCell ref="A14:B14"/>
    <mergeCell ref="C14:D14"/>
    <mergeCell ref="A15:B15"/>
    <mergeCell ref="C15:D15"/>
    <mergeCell ref="A16:B16"/>
    <mergeCell ref="C16:D16"/>
    <mergeCell ref="A48:D48"/>
    <mergeCell ref="B49:D49"/>
    <mergeCell ref="A54:D54"/>
    <mergeCell ref="A37:D37"/>
    <mergeCell ref="A42:D42"/>
    <mergeCell ref="B43:D43"/>
    <mergeCell ref="B44:D44"/>
    <mergeCell ref="B45:D45"/>
  </mergeCells>
  <conditionalFormatting sqref="B50:C50">
    <cfRule type="cellIs" dxfId="8" priority="2" operator="equal">
      <formula>"open"</formula>
    </cfRule>
  </conditionalFormatting>
  <dataValidations count="3">
    <dataValidation type="list" allowBlank="1" showInputMessage="1" showErrorMessage="1" sqref="B50:C50" xr:uid="{00000000-0002-0000-0000-000000000000}">
      <formula1>"Open,Solved,Rejected,Postponed,Duplicate"</formula1>
      <formula2>0</formula2>
    </dataValidation>
    <dataValidation type="list" allowBlank="1" showInputMessage="1" showErrorMessage="1" sqref="B51" xr:uid="{00000000-0002-0000-0000-000001000000}">
      <formula1>"Major,minor,?,note,-"</formula1>
      <formula2>0</formula2>
    </dataValidation>
    <dataValidation type="list" allowBlank="1" showInputMessage="1" sqref="A44" xr:uid="{00000000-0002-0000-0000-000002000000}">
      <formula1>"np,pp,NLOC,LOC,&lt;other&gt;"</formula1>
      <formula2>0</formula2>
    </dataValidation>
  </dataValidations>
  <pageMargins left="0.78749999999999998" right="0.78749999999999998" top="0.98402777777777795" bottom="0.98402777777777795" header="0.51180555555555596" footer="0.51180555555555596"/>
  <pageSetup paperSize="9" orientation="portrait" horizontalDpi="300" verticalDpi="300"/>
  <headerFooter>
    <oddHeader>&amp;Rgedruckt am &amp;D</oddHeader>
    <oddFooter>&amp;L&amp;F&amp;R&amp;P von &amp;N</oddFooter>
  </headerFooter>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P42"/>
  <sheetViews>
    <sheetView showGridLines="0" topLeftCell="A4" zoomScaleNormal="100" workbookViewId="0">
      <selection activeCell="E25" sqref="E25"/>
    </sheetView>
  </sheetViews>
  <sheetFormatPr baseColWidth="10" defaultColWidth="11.42578125" defaultRowHeight="12.75" x14ac:dyDescent="0.2"/>
  <cols>
    <col min="1" max="1" width="25.85546875" style="4" customWidth="1"/>
    <col min="2" max="2" width="65" style="4" customWidth="1"/>
    <col min="3" max="3" width="10" style="4" customWidth="1"/>
    <col min="4" max="16384" width="11.42578125" style="4"/>
  </cols>
  <sheetData>
    <row r="1" spans="1:68" ht="24.75" customHeight="1" x14ac:dyDescent="0.2"/>
    <row r="2" spans="1:68" ht="27.75" customHeight="1" x14ac:dyDescent="0.35">
      <c r="A2" s="28" t="s">
        <v>68</v>
      </c>
      <c r="B2" s="29"/>
      <c r="C2" s="30"/>
    </row>
    <row r="3" spans="1:68" s="34" customFormat="1" ht="14.25" x14ac:dyDescent="0.2">
      <c r="A3" s="31" t="s">
        <v>69</v>
      </c>
      <c r="B3" s="32">
        <v>1</v>
      </c>
      <c r="C3" s="33"/>
    </row>
    <row r="4" spans="1:68" s="34" customFormat="1" ht="14.25" x14ac:dyDescent="0.2">
      <c r="A4" s="35" t="s">
        <v>70</v>
      </c>
      <c r="B4" s="32" t="s">
        <v>819</v>
      </c>
      <c r="C4" s="36"/>
    </row>
    <row r="5" spans="1:68" s="34" customFormat="1" ht="14.25" x14ac:dyDescent="0.2">
      <c r="A5" s="35" t="s">
        <v>71</v>
      </c>
      <c r="B5" s="32"/>
      <c r="C5" s="36"/>
    </row>
    <row r="6" spans="1:68" s="34" customFormat="1" ht="28.5" x14ac:dyDescent="0.2">
      <c r="A6" s="35" t="s">
        <v>72</v>
      </c>
      <c r="B6" s="32"/>
      <c r="C6" s="36"/>
    </row>
    <row r="7" spans="1:68" s="34" customFormat="1" ht="14.25" x14ac:dyDescent="0.2">
      <c r="A7" s="35" t="s">
        <v>73</v>
      </c>
      <c r="B7" s="32" t="s">
        <v>821</v>
      </c>
      <c r="C7" s="36"/>
    </row>
    <row r="8" spans="1:68" s="34" customFormat="1" ht="14.25" x14ac:dyDescent="0.2">
      <c r="A8" s="37" t="s">
        <v>74</v>
      </c>
      <c r="B8" s="32" t="s">
        <v>820</v>
      </c>
      <c r="C8" s="36"/>
    </row>
    <row r="9" spans="1:68" s="40" customFormat="1" ht="16.5" customHeight="1" x14ac:dyDescent="0.2">
      <c r="A9" s="38" t="s">
        <v>75</v>
      </c>
      <c r="B9" s="39"/>
      <c r="C9" s="15" t="s">
        <v>76</v>
      </c>
    </row>
    <row r="10" spans="1:68" s="40" customFormat="1" ht="14.25" x14ac:dyDescent="0.2">
      <c r="A10" s="35" t="s">
        <v>77</v>
      </c>
      <c r="B10" s="41" t="s">
        <v>822</v>
      </c>
      <c r="C10" s="42" t="s">
        <v>825</v>
      </c>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c r="BN10" s="34"/>
      <c r="BO10" s="34"/>
      <c r="BP10" s="34"/>
    </row>
    <row r="11" spans="1:68" s="40" customFormat="1" ht="14.25" x14ac:dyDescent="0.2">
      <c r="A11" s="35" t="s">
        <v>78</v>
      </c>
      <c r="B11" s="41" t="s">
        <v>823</v>
      </c>
      <c r="C11" s="42" t="s">
        <v>826</v>
      </c>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34"/>
      <c r="AZ11" s="34"/>
      <c r="BA11" s="34"/>
      <c r="BB11" s="34"/>
      <c r="BC11" s="34"/>
      <c r="BD11" s="34"/>
      <c r="BE11" s="34"/>
      <c r="BF11" s="34"/>
      <c r="BG11" s="34"/>
      <c r="BH11" s="34"/>
      <c r="BI11" s="34"/>
      <c r="BJ11" s="34"/>
      <c r="BK11" s="34"/>
      <c r="BL11" s="34"/>
      <c r="BM11" s="34"/>
      <c r="BN11" s="34"/>
      <c r="BO11" s="34"/>
      <c r="BP11" s="34"/>
    </row>
    <row r="12" spans="1:68" s="40" customFormat="1" ht="14.25" x14ac:dyDescent="0.2">
      <c r="A12" s="35" t="s">
        <v>79</v>
      </c>
      <c r="B12" s="41" t="s">
        <v>824</v>
      </c>
      <c r="C12" s="42" t="s">
        <v>827</v>
      </c>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4"/>
      <c r="AL12" s="34"/>
      <c r="AM12" s="34"/>
      <c r="AN12" s="34"/>
      <c r="AO12" s="34"/>
      <c r="AP12" s="34"/>
      <c r="AQ12" s="34"/>
      <c r="AR12" s="34"/>
      <c r="AS12" s="34"/>
      <c r="AT12" s="34"/>
      <c r="AU12" s="34"/>
      <c r="AV12" s="34"/>
      <c r="AW12" s="34"/>
      <c r="AX12" s="34"/>
      <c r="AY12" s="34"/>
      <c r="AZ12" s="34"/>
      <c r="BA12" s="34"/>
      <c r="BB12" s="34"/>
      <c r="BC12" s="34"/>
      <c r="BD12" s="34"/>
      <c r="BE12" s="34"/>
      <c r="BF12" s="34"/>
      <c r="BG12" s="34"/>
      <c r="BH12" s="34"/>
      <c r="BI12" s="34"/>
      <c r="BJ12" s="34"/>
      <c r="BK12" s="34"/>
      <c r="BL12" s="34"/>
      <c r="BM12" s="34"/>
      <c r="BN12" s="34"/>
      <c r="BO12" s="34"/>
      <c r="BP12" s="34"/>
    </row>
    <row r="13" spans="1:68" s="40" customFormat="1" ht="16.5" customHeight="1" x14ac:dyDescent="0.2">
      <c r="A13" s="38" t="s">
        <v>80</v>
      </c>
      <c r="B13" s="39"/>
      <c r="C13" s="43"/>
    </row>
    <row r="14" spans="1:68" s="40" customFormat="1" ht="14.25" x14ac:dyDescent="0.2">
      <c r="A14" s="35" t="s">
        <v>77</v>
      </c>
      <c r="B14" s="82" t="s">
        <v>828</v>
      </c>
      <c r="C14" s="42" t="s">
        <v>831</v>
      </c>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34"/>
      <c r="AU14" s="34"/>
      <c r="AV14" s="34"/>
      <c r="AW14" s="34"/>
      <c r="AX14" s="34"/>
      <c r="AY14" s="34"/>
      <c r="AZ14" s="34"/>
      <c r="BA14" s="34"/>
      <c r="BB14" s="34"/>
      <c r="BC14" s="34"/>
      <c r="BD14" s="34"/>
      <c r="BE14" s="34"/>
      <c r="BF14" s="34"/>
      <c r="BG14" s="34"/>
      <c r="BH14" s="34"/>
      <c r="BI14" s="34"/>
      <c r="BJ14" s="34"/>
      <c r="BK14" s="34"/>
      <c r="BL14" s="34"/>
      <c r="BM14" s="34"/>
      <c r="BN14" s="34"/>
      <c r="BO14" s="34"/>
      <c r="BP14" s="34"/>
    </row>
    <row r="15" spans="1:68" s="40" customFormat="1" ht="14.25" x14ac:dyDescent="0.2">
      <c r="A15" s="35" t="s">
        <v>78</v>
      </c>
      <c r="B15" s="83" t="s">
        <v>829</v>
      </c>
      <c r="C15" s="42" t="s">
        <v>832</v>
      </c>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4"/>
      <c r="BK15" s="34"/>
      <c r="BL15" s="34"/>
      <c r="BM15" s="34"/>
      <c r="BN15" s="34"/>
      <c r="BO15" s="34"/>
      <c r="BP15" s="34"/>
    </row>
    <row r="16" spans="1:68" s="40" customFormat="1" ht="25.5" x14ac:dyDescent="0.2">
      <c r="A16" s="35" t="s">
        <v>79</v>
      </c>
      <c r="B16" s="83" t="s">
        <v>830</v>
      </c>
      <c r="C16" s="42" t="s">
        <v>833</v>
      </c>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c r="AY16" s="34"/>
      <c r="AZ16" s="34"/>
      <c r="BA16" s="34"/>
      <c r="BB16" s="34"/>
      <c r="BC16" s="34"/>
      <c r="BD16" s="34"/>
      <c r="BE16" s="34"/>
      <c r="BF16" s="34"/>
      <c r="BG16" s="34"/>
      <c r="BH16" s="34"/>
      <c r="BI16" s="34"/>
      <c r="BJ16" s="34"/>
      <c r="BK16" s="34"/>
      <c r="BL16" s="34"/>
      <c r="BM16" s="34"/>
      <c r="BN16" s="34"/>
      <c r="BO16" s="34"/>
      <c r="BP16" s="34"/>
    </row>
    <row r="17" spans="1:68" s="40" customFormat="1" ht="16.5" customHeight="1" x14ac:dyDescent="0.2">
      <c r="A17" s="38" t="s">
        <v>81</v>
      </c>
      <c r="B17" s="39"/>
      <c r="C17" s="43"/>
    </row>
    <row r="18" spans="1:68" s="40" customFormat="1" ht="25.5" x14ac:dyDescent="0.2">
      <c r="A18" s="35" t="s">
        <v>77</v>
      </c>
      <c r="B18" s="83" t="s">
        <v>834</v>
      </c>
      <c r="C18" s="42" t="s">
        <v>833</v>
      </c>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c r="BA18" s="34"/>
      <c r="BB18" s="34"/>
      <c r="BC18" s="34"/>
      <c r="BD18" s="34"/>
      <c r="BE18" s="34"/>
      <c r="BF18" s="34"/>
      <c r="BG18" s="34"/>
      <c r="BH18" s="34"/>
      <c r="BI18" s="34"/>
      <c r="BJ18" s="34"/>
      <c r="BK18" s="34"/>
      <c r="BL18" s="34"/>
      <c r="BM18" s="34"/>
      <c r="BN18" s="34"/>
      <c r="BO18" s="34"/>
      <c r="BP18" s="34"/>
    </row>
    <row r="19" spans="1:68" s="40" customFormat="1" ht="28.5" x14ac:dyDescent="0.2">
      <c r="A19" s="35" t="s">
        <v>78</v>
      </c>
      <c r="B19" s="83" t="s">
        <v>835</v>
      </c>
      <c r="C19" s="42" t="s">
        <v>836</v>
      </c>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34"/>
      <c r="BF19" s="34"/>
      <c r="BG19" s="34"/>
      <c r="BH19" s="34"/>
      <c r="BI19" s="34"/>
      <c r="BJ19" s="34"/>
      <c r="BK19" s="34"/>
      <c r="BL19" s="34"/>
      <c r="BM19" s="34"/>
      <c r="BN19" s="34"/>
      <c r="BO19" s="34"/>
      <c r="BP19" s="34"/>
    </row>
    <row r="20" spans="1:68" s="40" customFormat="1" ht="28.5" x14ac:dyDescent="0.2">
      <c r="A20" s="44" t="s">
        <v>82</v>
      </c>
      <c r="B20" s="45" t="s">
        <v>83</v>
      </c>
      <c r="C20" s="46" t="s">
        <v>76</v>
      </c>
    </row>
    <row r="21" spans="1:68" s="40" customFormat="1" ht="14.25" x14ac:dyDescent="0.2">
      <c r="A21" s="35" t="s">
        <v>77</v>
      </c>
      <c r="B21" s="41" t="s">
        <v>837</v>
      </c>
      <c r="C21" s="42" t="s">
        <v>838</v>
      </c>
    </row>
    <row r="22" spans="1:68" s="40" customFormat="1" ht="14.25" x14ac:dyDescent="0.2">
      <c r="A22" s="35" t="s">
        <v>78</v>
      </c>
      <c r="B22" s="41" t="s">
        <v>839</v>
      </c>
      <c r="C22" s="42" t="s">
        <v>840</v>
      </c>
    </row>
    <row r="23" spans="1:68" s="40" customFormat="1" ht="14.25" x14ac:dyDescent="0.2">
      <c r="A23" s="35" t="s">
        <v>79</v>
      </c>
      <c r="B23" s="41" t="s">
        <v>843</v>
      </c>
      <c r="C23" s="42" t="s">
        <v>845</v>
      </c>
    </row>
    <row r="24" spans="1:68" s="40" customFormat="1" ht="14.25" x14ac:dyDescent="0.2">
      <c r="A24" s="35" t="s">
        <v>84</v>
      </c>
      <c r="B24" s="41" t="s">
        <v>844</v>
      </c>
      <c r="C24" s="42" t="s">
        <v>846</v>
      </c>
    </row>
    <row r="25" spans="1:68" s="40" customFormat="1" ht="14.25" x14ac:dyDescent="0.2">
      <c r="A25" s="35" t="s">
        <v>85</v>
      </c>
      <c r="B25" s="41" t="s">
        <v>821</v>
      </c>
      <c r="C25" s="42" t="s">
        <v>864</v>
      </c>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4"/>
      <c r="BJ25" s="34"/>
      <c r="BK25" s="34"/>
      <c r="BL25" s="34"/>
      <c r="BM25" s="34"/>
      <c r="BN25" s="34"/>
      <c r="BO25" s="34"/>
      <c r="BP25" s="34"/>
    </row>
    <row r="26" spans="1:68" s="40" customFormat="1" ht="14.25" x14ac:dyDescent="0.2">
      <c r="A26" s="35" t="s">
        <v>86</v>
      </c>
      <c r="B26" s="41"/>
      <c r="C26" s="42"/>
    </row>
    <row r="27" spans="1:68" s="40" customFormat="1" ht="14.25" x14ac:dyDescent="0.2">
      <c r="A27" s="35" t="s">
        <v>87</v>
      </c>
      <c r="B27" s="41"/>
      <c r="C27" s="42"/>
    </row>
    <row r="28" spans="1:68" s="40" customFormat="1" ht="14.25" x14ac:dyDescent="0.2">
      <c r="A28" s="35" t="s">
        <v>88</v>
      </c>
      <c r="B28" s="41"/>
      <c r="C28" s="42"/>
    </row>
    <row r="29" spans="1:68" s="40" customFormat="1" ht="14.25" x14ac:dyDescent="0.2">
      <c r="A29" s="35" t="s">
        <v>89</v>
      </c>
      <c r="B29" s="41"/>
      <c r="C29" s="42"/>
    </row>
    <row r="30" spans="1:68" s="40" customFormat="1" ht="14.25" x14ac:dyDescent="0.2">
      <c r="A30" s="35" t="s">
        <v>90</v>
      </c>
      <c r="B30" s="41"/>
      <c r="C30" s="42"/>
    </row>
    <row r="31" spans="1:68" s="40" customFormat="1" ht="14.25" x14ac:dyDescent="0.2">
      <c r="A31" s="44" t="s">
        <v>91</v>
      </c>
      <c r="B31" s="47" t="s">
        <v>92</v>
      </c>
      <c r="C31" s="48"/>
    </row>
    <row r="32" spans="1:68" s="40" customFormat="1" ht="14.25" x14ac:dyDescent="0.2">
      <c r="A32" s="35"/>
      <c r="B32" s="95" t="s">
        <v>841</v>
      </c>
      <c r="C32" s="95"/>
    </row>
    <row r="33" spans="1:3" s="40" customFormat="1" ht="14.25" x14ac:dyDescent="0.2">
      <c r="A33" s="44" t="s">
        <v>8</v>
      </c>
      <c r="B33" s="49"/>
      <c r="C33" s="15" t="s">
        <v>93</v>
      </c>
    </row>
    <row r="34" spans="1:3" s="40" customFormat="1" ht="28.5" x14ac:dyDescent="0.2">
      <c r="A34" s="35" t="s">
        <v>94</v>
      </c>
      <c r="B34" s="41" t="s">
        <v>842</v>
      </c>
      <c r="C34" s="16"/>
    </row>
    <row r="35" spans="1:3" s="34" customFormat="1" ht="14.25" customHeight="1" x14ac:dyDescent="0.2">
      <c r="A35" s="35" t="s">
        <v>95</v>
      </c>
      <c r="B35" s="50">
        <v>2121</v>
      </c>
      <c r="C35" s="16" t="s">
        <v>96</v>
      </c>
    </row>
    <row r="36" spans="1:3" s="34" customFormat="1" ht="14.25" x14ac:dyDescent="0.2">
      <c r="A36" s="35" t="s">
        <v>97</v>
      </c>
      <c r="B36" s="50">
        <v>500</v>
      </c>
      <c r="C36" s="17" t="str">
        <f>Size_Unit &amp; "/h"</f>
        <v>NLOC/h</v>
      </c>
    </row>
    <row r="37" spans="1:3" s="34" customFormat="1" ht="14.25" customHeight="1" x14ac:dyDescent="0.2">
      <c r="A37" s="35" t="s">
        <v>98</v>
      </c>
      <c r="B37" s="51">
        <f>IF(B36=0,0,B35/B36)</f>
        <v>4.242</v>
      </c>
      <c r="C37" s="17" t="str">
        <f>"h"</f>
        <v>h</v>
      </c>
    </row>
    <row r="38" spans="1:3" s="40" customFormat="1" ht="14.25" x14ac:dyDescent="0.2">
      <c r="A38" s="44" t="s">
        <v>10</v>
      </c>
      <c r="B38" s="47" t="s">
        <v>92</v>
      </c>
      <c r="C38" s="52"/>
    </row>
    <row r="39" spans="1:3" s="40" customFormat="1" ht="14.25" x14ac:dyDescent="0.2">
      <c r="A39" s="35"/>
      <c r="B39" s="95"/>
      <c r="C39" s="95"/>
    </row>
    <row r="40" spans="1:3" s="40" customFormat="1" ht="14.25" x14ac:dyDescent="0.2">
      <c r="A40" s="38" t="s">
        <v>99</v>
      </c>
      <c r="B40" s="53"/>
      <c r="C40" s="54"/>
    </row>
    <row r="41" spans="1:3" ht="57" customHeight="1" x14ac:dyDescent="0.2">
      <c r="A41" s="92"/>
      <c r="B41" s="92"/>
      <c r="C41" s="92"/>
    </row>
    <row r="42" spans="1:3" ht="13.5" customHeight="1" x14ac:dyDescent="0.2"/>
  </sheetData>
  <mergeCells count="3">
    <mergeCell ref="B32:C32"/>
    <mergeCell ref="B39:C39"/>
    <mergeCell ref="A41:C41"/>
  </mergeCells>
  <dataValidations count="3">
    <dataValidation type="list" allowBlank="1" showInputMessage="1" sqref="B32 B39" xr:uid="{00000000-0002-0000-0100-000000000000}">
      <formula1>"'- none -,&lt;Meeting Date/Time/Location&gt;"</formula1>
      <formula2>0</formula2>
    </dataValidation>
    <dataValidation type="list" allowBlank="1" showInputMessage="1" sqref="C35" xr:uid="{00000000-0002-0000-0100-000001000000}">
      <formula1>"np,pp,NLOC,LOC,&lt;other&gt;"</formula1>
      <formula2>0</formula2>
    </dataValidation>
    <dataValidation type="list" allowBlank="1" showInputMessage="1" sqref="B34" xr:uid="{00000000-0002-0000-0100-000002000000}">
      <formula1>"&lt;Date/Time&gt;"</formula1>
      <formula2>0</formula2>
    </dataValidation>
  </dataValidations>
  <hyperlinks>
    <hyperlink ref="B15" r:id="rId1" xr:uid="{071C9FC9-2294-4644-A479-FA5E4064C477}"/>
    <hyperlink ref="B14" r:id="rId2" xr:uid="{693643CA-1CB8-4619-9FAE-0142F8DC5F6F}"/>
    <hyperlink ref="B16" r:id="rId3" xr:uid="{053C245F-38C6-4691-954F-61E072F87DDC}"/>
    <hyperlink ref="B18" r:id="rId4" xr:uid="{97F97E7B-D711-4219-BB67-B46FF97FF7CE}"/>
    <hyperlink ref="B19" r:id="rId5" xr:uid="{249A7E05-1AE4-41EE-A191-2A181094D789}"/>
  </hyperlinks>
  <pageMargins left="0.78749999999999998" right="0.78749999999999998" top="0.98402777777777795" bottom="0.98402777777777795" header="0.51180555555555596" footer="0.51180555555555596"/>
  <pageSetup paperSize="9" orientation="portrait" horizontalDpi="300" verticalDpi="300"/>
  <headerFooter>
    <oddHeader>&amp;Rgedruckt am &amp;D</oddHeader>
    <oddFooter>&amp;L&amp;F&amp;R&amp;P von &amp;N</oddFooter>
  </headerFooter>
  <drawing r:id="rId6"/>
  <legacyDrawing r:id="rId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830"/>
  <sheetViews>
    <sheetView showGridLines="0" tabSelected="1" topLeftCell="D1" zoomScaleNormal="100" workbookViewId="0">
      <pane ySplit="3" topLeftCell="A4" activePane="bottomLeft" state="frozen"/>
      <selection pane="bottomLeft" activeCell="M4" sqref="M4"/>
    </sheetView>
  </sheetViews>
  <sheetFormatPr baseColWidth="10" defaultColWidth="11.42578125" defaultRowHeight="15" x14ac:dyDescent="0.2"/>
  <cols>
    <col min="1" max="1" width="8.5703125" style="55" bestFit="1" customWidth="1"/>
    <col min="2" max="2" width="12.28515625" style="55" bestFit="1" customWidth="1"/>
    <col min="3" max="3" width="13.42578125" style="56" bestFit="1" customWidth="1"/>
    <col min="4" max="4" width="39" style="57" customWidth="1"/>
    <col min="5" max="5" width="14.85546875" style="58" bestFit="1" customWidth="1"/>
    <col min="6" max="6" width="11.28515625" style="57" bestFit="1" customWidth="1"/>
    <col min="7" max="7" width="13" style="59" bestFit="1" customWidth="1"/>
    <col min="8" max="8" width="66.42578125" style="58" bestFit="1" customWidth="1"/>
    <col min="9" max="9" width="11.140625" style="58" bestFit="1" customWidth="1"/>
    <col min="10" max="10" width="15.28515625" style="58" bestFit="1" customWidth="1"/>
    <col min="11" max="16384" width="11.42578125" style="58"/>
  </cols>
  <sheetData>
    <row r="1" spans="1:10" s="4" customFormat="1" ht="24.75" customHeight="1" x14ac:dyDescent="0.2">
      <c r="A1" s="96" t="s">
        <v>100</v>
      </c>
      <c r="B1" s="96"/>
      <c r="C1" s="96"/>
      <c r="D1" s="96"/>
      <c r="E1" s="96"/>
      <c r="F1" s="96"/>
      <c r="G1" s="96"/>
      <c r="H1" s="96"/>
      <c r="I1" s="96"/>
      <c r="J1" s="96"/>
    </row>
    <row r="2" spans="1:10" ht="15" customHeight="1" x14ac:dyDescent="0.2">
      <c r="A2" s="97" t="s">
        <v>8</v>
      </c>
      <c r="B2" s="97"/>
      <c r="C2" s="97"/>
      <c r="D2" s="97"/>
      <c r="E2" s="97"/>
      <c r="F2" s="97"/>
      <c r="G2" s="97"/>
      <c r="H2" s="97" t="s">
        <v>101</v>
      </c>
      <c r="I2" s="97"/>
      <c r="J2" s="97"/>
    </row>
    <row r="3" spans="1:10" s="63" customFormat="1" ht="45" customHeight="1" x14ac:dyDescent="0.2">
      <c r="A3" s="60" t="s">
        <v>102</v>
      </c>
      <c r="B3" s="61" t="s">
        <v>103</v>
      </c>
      <c r="C3" s="61" t="s">
        <v>104</v>
      </c>
      <c r="D3" s="62" t="s">
        <v>3</v>
      </c>
      <c r="E3" s="62" t="s">
        <v>105</v>
      </c>
      <c r="F3" s="62" t="s">
        <v>106</v>
      </c>
      <c r="G3" s="62" t="s">
        <v>107</v>
      </c>
      <c r="H3" s="62" t="s">
        <v>108</v>
      </c>
      <c r="I3" s="62" t="s">
        <v>109</v>
      </c>
      <c r="J3" s="62" t="s">
        <v>110</v>
      </c>
    </row>
    <row r="4" spans="1:10" s="66" customFormat="1" ht="38.25" x14ac:dyDescent="0.2">
      <c r="A4" s="11" t="s">
        <v>111</v>
      </c>
      <c r="B4" s="11" t="s">
        <v>112</v>
      </c>
      <c r="C4" s="11" t="s">
        <v>113</v>
      </c>
      <c r="D4" s="3" t="s">
        <v>114</v>
      </c>
      <c r="E4" s="3" t="s">
        <v>115</v>
      </c>
      <c r="F4" s="64" t="s">
        <v>864</v>
      </c>
      <c r="G4" s="2" t="s">
        <v>116</v>
      </c>
      <c r="H4" s="3" t="s">
        <v>847</v>
      </c>
      <c r="I4" s="2" t="s">
        <v>863</v>
      </c>
      <c r="J4" s="65"/>
    </row>
    <row r="5" spans="1:10" s="66" customFormat="1" ht="51" x14ac:dyDescent="0.2">
      <c r="A5" s="11" t="s">
        <v>117</v>
      </c>
      <c r="B5" s="11" t="s">
        <v>118</v>
      </c>
      <c r="C5" s="11" t="s">
        <v>119</v>
      </c>
      <c r="D5" s="3" t="s">
        <v>120</v>
      </c>
      <c r="E5" s="3" t="s">
        <v>121</v>
      </c>
      <c r="F5" s="64" t="s">
        <v>864</v>
      </c>
      <c r="G5" s="2" t="s">
        <v>116</v>
      </c>
      <c r="H5" s="3" t="s">
        <v>848</v>
      </c>
      <c r="I5" s="2" t="s">
        <v>863</v>
      </c>
      <c r="J5" s="65"/>
    </row>
    <row r="6" spans="1:10" s="66" customFormat="1" ht="25.5" x14ac:dyDescent="0.2">
      <c r="A6" s="11" t="s">
        <v>122</v>
      </c>
      <c r="B6" s="11" t="s">
        <v>123</v>
      </c>
      <c r="C6" s="11" t="s">
        <v>119</v>
      </c>
      <c r="D6" s="3" t="s">
        <v>124</v>
      </c>
      <c r="E6" s="3" t="s">
        <v>125</v>
      </c>
      <c r="F6" s="64" t="s">
        <v>864</v>
      </c>
      <c r="G6" s="2" t="s">
        <v>126</v>
      </c>
      <c r="H6" s="3" t="s">
        <v>849</v>
      </c>
      <c r="I6" s="2" t="s">
        <v>863</v>
      </c>
      <c r="J6" s="65"/>
    </row>
    <row r="7" spans="1:10" s="66" customFormat="1" ht="25.5" x14ac:dyDescent="0.2">
      <c r="A7" s="11" t="s">
        <v>127</v>
      </c>
      <c r="B7" s="11" t="s">
        <v>128</v>
      </c>
      <c r="C7" s="11" t="s">
        <v>119</v>
      </c>
      <c r="D7" s="3" t="s">
        <v>129</v>
      </c>
      <c r="E7" s="3" t="s">
        <v>125</v>
      </c>
      <c r="F7" s="64" t="s">
        <v>864</v>
      </c>
      <c r="G7" s="2" t="s">
        <v>126</v>
      </c>
      <c r="H7" s="3" t="s">
        <v>850</v>
      </c>
      <c r="I7" s="2" t="s">
        <v>863</v>
      </c>
      <c r="J7" s="65"/>
    </row>
    <row r="8" spans="1:10" s="66" customFormat="1" ht="38.25" x14ac:dyDescent="0.2">
      <c r="A8" s="11" t="s">
        <v>130</v>
      </c>
      <c r="B8" s="11" t="s">
        <v>131</v>
      </c>
      <c r="C8" s="11" t="s">
        <v>119</v>
      </c>
      <c r="D8" s="3" t="s">
        <v>132</v>
      </c>
      <c r="E8" s="3" t="s">
        <v>115</v>
      </c>
      <c r="F8" s="64" t="s">
        <v>838</v>
      </c>
      <c r="G8" s="2" t="s">
        <v>126</v>
      </c>
      <c r="H8" s="3" t="s">
        <v>851</v>
      </c>
      <c r="I8" s="2" t="s">
        <v>863</v>
      </c>
      <c r="J8" s="65"/>
    </row>
    <row r="9" spans="1:10" s="66" customFormat="1" ht="38.25" x14ac:dyDescent="0.3">
      <c r="A9" s="11" t="s">
        <v>133</v>
      </c>
      <c r="B9" s="11" t="s">
        <v>134</v>
      </c>
      <c r="C9" s="11"/>
      <c r="D9" s="3" t="s">
        <v>135</v>
      </c>
      <c r="E9" s="3" t="s">
        <v>136</v>
      </c>
      <c r="F9" s="64" t="s">
        <v>838</v>
      </c>
      <c r="G9" s="2" t="s">
        <v>126</v>
      </c>
      <c r="H9" s="84" t="s">
        <v>852</v>
      </c>
      <c r="I9" s="2" t="s">
        <v>863</v>
      </c>
      <c r="J9" s="65"/>
    </row>
    <row r="10" spans="1:10" s="66" customFormat="1" ht="25.5" x14ac:dyDescent="0.2">
      <c r="A10" s="11" t="s">
        <v>137</v>
      </c>
      <c r="B10" s="11" t="s">
        <v>138</v>
      </c>
      <c r="C10" s="11"/>
      <c r="D10" s="3" t="s">
        <v>139</v>
      </c>
      <c r="E10" s="3" t="s">
        <v>125</v>
      </c>
      <c r="F10" s="64" t="s">
        <v>838</v>
      </c>
      <c r="G10" s="2" t="s">
        <v>126</v>
      </c>
      <c r="H10" s="3" t="s">
        <v>853</v>
      </c>
      <c r="I10" s="2" t="s">
        <v>863</v>
      </c>
      <c r="J10" s="65"/>
    </row>
    <row r="11" spans="1:10" s="66" customFormat="1" ht="38.25" x14ac:dyDescent="0.2">
      <c r="A11" s="11" t="s">
        <v>140</v>
      </c>
      <c r="B11" s="11" t="s">
        <v>128</v>
      </c>
      <c r="C11" s="11" t="s">
        <v>119</v>
      </c>
      <c r="D11" s="3" t="s">
        <v>141</v>
      </c>
      <c r="E11" s="3" t="s">
        <v>115</v>
      </c>
      <c r="F11" s="64" t="s">
        <v>838</v>
      </c>
      <c r="G11" s="2" t="s">
        <v>116</v>
      </c>
      <c r="H11" s="3" t="s">
        <v>854</v>
      </c>
      <c r="I11" s="2" t="s">
        <v>863</v>
      </c>
      <c r="J11" s="65"/>
    </row>
    <row r="12" spans="1:10" s="66" customFormat="1" ht="51" x14ac:dyDescent="0.2">
      <c r="A12" s="11" t="s">
        <v>142</v>
      </c>
      <c r="B12" s="11" t="s">
        <v>118</v>
      </c>
      <c r="C12" s="11" t="s">
        <v>119</v>
      </c>
      <c r="D12" s="3" t="s">
        <v>143</v>
      </c>
      <c r="E12" s="3" t="s">
        <v>144</v>
      </c>
      <c r="F12" s="64" t="s">
        <v>845</v>
      </c>
      <c r="G12" s="2" t="s">
        <v>116</v>
      </c>
      <c r="H12" s="3" t="s">
        <v>855</v>
      </c>
      <c r="I12" s="2" t="s">
        <v>863</v>
      </c>
      <c r="J12" s="65"/>
    </row>
    <row r="13" spans="1:10" s="66" customFormat="1" ht="38.25" x14ac:dyDescent="0.3">
      <c r="A13" s="11" t="s">
        <v>145</v>
      </c>
      <c r="B13" s="11" t="s">
        <v>146</v>
      </c>
      <c r="C13" s="11"/>
      <c r="D13" s="3" t="s">
        <v>147</v>
      </c>
      <c r="E13" s="3" t="s">
        <v>148</v>
      </c>
      <c r="F13" s="64" t="s">
        <v>846</v>
      </c>
      <c r="G13" s="2" t="s">
        <v>126</v>
      </c>
      <c r="H13" s="84" t="s">
        <v>856</v>
      </c>
      <c r="I13" s="2" t="s">
        <v>863</v>
      </c>
      <c r="J13" s="65"/>
    </row>
    <row r="14" spans="1:10" s="66" customFormat="1" ht="38.25" x14ac:dyDescent="0.2">
      <c r="A14" s="11" t="s">
        <v>149</v>
      </c>
      <c r="B14" s="11" t="s">
        <v>150</v>
      </c>
      <c r="C14" s="11"/>
      <c r="D14" s="3" t="s">
        <v>151</v>
      </c>
      <c r="E14" s="3" t="s">
        <v>115</v>
      </c>
      <c r="F14" s="64" t="s">
        <v>840</v>
      </c>
      <c r="G14" s="2" t="s">
        <v>126</v>
      </c>
      <c r="H14" s="3" t="s">
        <v>857</v>
      </c>
      <c r="I14" s="2" t="s">
        <v>863</v>
      </c>
      <c r="J14" s="65"/>
    </row>
    <row r="15" spans="1:10" s="66" customFormat="1" ht="51" x14ac:dyDescent="0.3">
      <c r="A15" s="11" t="s">
        <v>152</v>
      </c>
      <c r="B15" s="11" t="s">
        <v>153</v>
      </c>
      <c r="C15" s="11"/>
      <c r="D15" s="3" t="s">
        <v>154</v>
      </c>
      <c r="E15" s="3" t="s">
        <v>115</v>
      </c>
      <c r="F15" s="64" t="s">
        <v>840</v>
      </c>
      <c r="G15" s="2" t="s">
        <v>116</v>
      </c>
      <c r="H15" s="84" t="s">
        <v>858</v>
      </c>
      <c r="I15" s="2" t="s">
        <v>863</v>
      </c>
      <c r="J15" s="65"/>
    </row>
    <row r="16" spans="1:10" s="66" customFormat="1" ht="51" x14ac:dyDescent="0.3">
      <c r="A16" s="11" t="s">
        <v>155</v>
      </c>
      <c r="B16" s="11" t="s">
        <v>156</v>
      </c>
      <c r="C16" s="11"/>
      <c r="D16" s="3" t="s">
        <v>157</v>
      </c>
      <c r="E16" s="3" t="s">
        <v>148</v>
      </c>
      <c r="F16" s="64" t="s">
        <v>845</v>
      </c>
      <c r="G16" s="2" t="s">
        <v>126</v>
      </c>
      <c r="H16" s="84" t="s">
        <v>859</v>
      </c>
      <c r="I16" s="2" t="s">
        <v>863</v>
      </c>
      <c r="J16" s="65"/>
    </row>
    <row r="17" spans="1:10" s="66" customFormat="1" ht="39" thickBot="1" x14ac:dyDescent="0.35">
      <c r="A17" s="11" t="s">
        <v>158</v>
      </c>
      <c r="B17" s="11" t="s">
        <v>159</v>
      </c>
      <c r="C17" s="11"/>
      <c r="D17" s="3" t="s">
        <v>160</v>
      </c>
      <c r="E17" s="3" t="s">
        <v>121</v>
      </c>
      <c r="F17" s="64" t="s">
        <v>845</v>
      </c>
      <c r="G17" s="2" t="s">
        <v>116</v>
      </c>
      <c r="H17" s="84" t="s">
        <v>860</v>
      </c>
      <c r="I17" s="2" t="s">
        <v>863</v>
      </c>
      <c r="J17" s="65"/>
    </row>
    <row r="18" spans="1:10" s="66" customFormat="1" ht="38.25" x14ac:dyDescent="0.2">
      <c r="A18" s="11" t="s">
        <v>161</v>
      </c>
      <c r="B18" s="11" t="s">
        <v>162</v>
      </c>
      <c r="C18" s="11"/>
      <c r="D18" s="3" t="s">
        <v>163</v>
      </c>
      <c r="E18" s="3" t="s">
        <v>136</v>
      </c>
      <c r="F18" s="64" t="s">
        <v>846</v>
      </c>
      <c r="G18" s="2" t="s">
        <v>126</v>
      </c>
      <c r="H18" s="85" t="s">
        <v>861</v>
      </c>
      <c r="I18" s="2" t="s">
        <v>863</v>
      </c>
      <c r="J18" s="65"/>
    </row>
    <row r="19" spans="1:10" s="66" customFormat="1" ht="51" x14ac:dyDescent="0.3">
      <c r="A19" s="11" t="s">
        <v>164</v>
      </c>
      <c r="B19" s="11" t="s">
        <v>165</v>
      </c>
      <c r="C19" s="11"/>
      <c r="D19" s="3" t="s">
        <v>166</v>
      </c>
      <c r="E19" s="3" t="s">
        <v>167</v>
      </c>
      <c r="F19" s="64" t="s">
        <v>845</v>
      </c>
      <c r="G19" s="2" t="s">
        <v>126</v>
      </c>
      <c r="H19" s="84" t="s">
        <v>862</v>
      </c>
      <c r="I19" s="2" t="s">
        <v>863</v>
      </c>
      <c r="J19" s="65"/>
    </row>
    <row r="20" spans="1:10" s="66" customFormat="1" ht="12.75" x14ac:dyDescent="0.2">
      <c r="A20" s="11" t="s">
        <v>168</v>
      </c>
      <c r="B20" s="11"/>
      <c r="C20" s="11"/>
      <c r="D20" s="3"/>
      <c r="E20" s="3"/>
      <c r="F20" s="64"/>
      <c r="G20" s="2"/>
      <c r="H20" s="3"/>
      <c r="I20" s="2"/>
      <c r="J20" s="65"/>
    </row>
    <row r="21" spans="1:10" s="66" customFormat="1" ht="12.75" x14ac:dyDescent="0.2">
      <c r="A21" s="11" t="s">
        <v>169</v>
      </c>
      <c r="B21" s="11"/>
      <c r="C21" s="11"/>
      <c r="D21" s="3"/>
      <c r="E21" s="3"/>
      <c r="F21" s="64"/>
      <c r="G21" s="2"/>
      <c r="H21" s="3"/>
      <c r="I21" s="2"/>
      <c r="J21" s="65"/>
    </row>
    <row r="22" spans="1:10" s="66" customFormat="1" ht="12.75" x14ac:dyDescent="0.2">
      <c r="A22" s="11" t="s">
        <v>170</v>
      </c>
      <c r="B22" s="11"/>
      <c r="C22" s="11"/>
      <c r="D22" s="3"/>
      <c r="E22" s="3"/>
      <c r="F22" s="64"/>
      <c r="G22" s="2"/>
      <c r="H22" s="3"/>
      <c r="I22" s="2"/>
      <c r="J22" s="65"/>
    </row>
    <row r="23" spans="1:10" s="66" customFormat="1" ht="12.75" x14ac:dyDescent="0.2">
      <c r="A23" s="11" t="s">
        <v>171</v>
      </c>
      <c r="B23" s="11"/>
      <c r="C23" s="11"/>
      <c r="D23" s="3"/>
      <c r="E23" s="3"/>
      <c r="F23" s="64"/>
      <c r="G23" s="2"/>
      <c r="H23" s="3"/>
      <c r="I23" s="2"/>
      <c r="J23" s="65"/>
    </row>
    <row r="24" spans="1:10" s="66" customFormat="1" ht="12.75" x14ac:dyDescent="0.2">
      <c r="A24" s="11" t="s">
        <v>172</v>
      </c>
      <c r="B24" s="11"/>
      <c r="C24" s="11"/>
      <c r="D24" s="3"/>
      <c r="E24" s="3"/>
      <c r="F24" s="64"/>
      <c r="G24" s="2"/>
      <c r="H24" s="3"/>
      <c r="I24" s="2"/>
      <c r="J24" s="65"/>
    </row>
    <row r="25" spans="1:10" s="66" customFormat="1" ht="12.75" x14ac:dyDescent="0.2">
      <c r="A25" s="11" t="s">
        <v>173</v>
      </c>
      <c r="B25" s="11"/>
      <c r="C25" s="11"/>
      <c r="D25" s="3"/>
      <c r="E25" s="3"/>
      <c r="F25" s="64"/>
      <c r="G25" s="2"/>
      <c r="H25" s="3"/>
      <c r="I25" s="2"/>
      <c r="J25" s="65"/>
    </row>
    <row r="26" spans="1:10" s="66" customFormat="1" ht="12.75" x14ac:dyDescent="0.2">
      <c r="A26" s="11" t="s">
        <v>174</v>
      </c>
      <c r="B26" s="11"/>
      <c r="C26" s="11"/>
      <c r="D26" s="3"/>
      <c r="E26" s="3"/>
      <c r="F26" s="64"/>
      <c r="G26" s="2"/>
      <c r="H26" s="3"/>
      <c r="I26" s="2"/>
      <c r="J26" s="65"/>
    </row>
    <row r="27" spans="1:10" s="66" customFormat="1" ht="12.75" x14ac:dyDescent="0.2">
      <c r="A27" s="11" t="s">
        <v>175</v>
      </c>
      <c r="B27" s="11"/>
      <c r="C27" s="11"/>
      <c r="D27" s="3"/>
      <c r="E27" s="3"/>
      <c r="F27" s="64"/>
      <c r="G27" s="2"/>
      <c r="H27" s="3"/>
      <c r="I27" s="2"/>
      <c r="J27" s="65"/>
    </row>
    <row r="28" spans="1:10" s="66" customFormat="1" ht="12.75" x14ac:dyDescent="0.2">
      <c r="A28" s="11" t="s">
        <v>176</v>
      </c>
      <c r="B28" s="11"/>
      <c r="C28" s="11"/>
      <c r="D28" s="3"/>
      <c r="E28" s="3"/>
      <c r="F28" s="64"/>
      <c r="G28" s="2"/>
      <c r="H28" s="3"/>
      <c r="I28" s="2"/>
      <c r="J28" s="65"/>
    </row>
    <row r="29" spans="1:10" s="66" customFormat="1" ht="12.75" x14ac:dyDescent="0.2">
      <c r="A29" s="11" t="s">
        <v>177</v>
      </c>
      <c r="B29" s="11"/>
      <c r="C29" s="11"/>
      <c r="D29" s="3"/>
      <c r="E29" s="3"/>
      <c r="F29" s="64"/>
      <c r="G29" s="2"/>
      <c r="H29" s="3"/>
      <c r="I29" s="2"/>
      <c r="J29" s="65"/>
    </row>
    <row r="30" spans="1:10" s="66" customFormat="1" ht="12.75" x14ac:dyDescent="0.2">
      <c r="A30" s="11" t="s">
        <v>178</v>
      </c>
      <c r="B30" s="11"/>
      <c r="C30" s="11"/>
      <c r="D30" s="3"/>
      <c r="E30" s="3"/>
      <c r="F30" s="64"/>
      <c r="G30" s="2"/>
      <c r="H30" s="3"/>
      <c r="I30" s="2"/>
      <c r="J30" s="65"/>
    </row>
    <row r="31" spans="1:10" s="66" customFormat="1" ht="12.75" x14ac:dyDescent="0.2">
      <c r="A31" s="11" t="s">
        <v>179</v>
      </c>
      <c r="B31" s="11"/>
      <c r="C31" s="11"/>
      <c r="D31" s="3"/>
      <c r="E31" s="3"/>
      <c r="F31" s="64"/>
      <c r="G31" s="2"/>
      <c r="H31" s="3"/>
      <c r="I31" s="2"/>
      <c r="J31" s="65"/>
    </row>
    <row r="32" spans="1:10" s="66" customFormat="1" ht="12.75" x14ac:dyDescent="0.2">
      <c r="A32" s="11" t="s">
        <v>180</v>
      </c>
      <c r="B32" s="11"/>
      <c r="C32" s="11"/>
      <c r="D32" s="3"/>
      <c r="E32" s="3"/>
      <c r="F32" s="64"/>
      <c r="G32" s="2"/>
      <c r="H32" s="3"/>
      <c r="I32" s="2"/>
      <c r="J32" s="65"/>
    </row>
    <row r="33" spans="1:10" s="66" customFormat="1" ht="12.75" x14ac:dyDescent="0.2">
      <c r="A33" s="11" t="s">
        <v>181</v>
      </c>
      <c r="B33" s="11"/>
      <c r="C33" s="11"/>
      <c r="D33" s="3"/>
      <c r="E33" s="3"/>
      <c r="F33" s="64"/>
      <c r="G33" s="2"/>
      <c r="H33" s="3"/>
      <c r="I33" s="2"/>
      <c r="J33" s="65"/>
    </row>
    <row r="34" spans="1:10" s="66" customFormat="1" ht="12.75" x14ac:dyDescent="0.2">
      <c r="A34" s="11" t="s">
        <v>182</v>
      </c>
      <c r="B34" s="11"/>
      <c r="C34" s="11"/>
      <c r="D34" s="3"/>
      <c r="E34" s="3"/>
      <c r="F34" s="64"/>
      <c r="G34" s="2"/>
      <c r="H34" s="3"/>
      <c r="I34" s="2"/>
      <c r="J34" s="65"/>
    </row>
    <row r="35" spans="1:10" s="66" customFormat="1" ht="12.75" x14ac:dyDescent="0.2">
      <c r="A35" s="11" t="s">
        <v>183</v>
      </c>
      <c r="B35" s="11"/>
      <c r="C35" s="11"/>
      <c r="D35" s="3"/>
      <c r="E35" s="3"/>
      <c r="F35" s="64"/>
      <c r="G35" s="2"/>
      <c r="H35" s="3"/>
      <c r="I35" s="2"/>
      <c r="J35" s="65"/>
    </row>
    <row r="36" spans="1:10" s="66" customFormat="1" ht="12.75" x14ac:dyDescent="0.2">
      <c r="A36" s="11" t="s">
        <v>184</v>
      </c>
      <c r="B36" s="11"/>
      <c r="C36" s="11"/>
      <c r="D36" s="3"/>
      <c r="E36" s="3"/>
      <c r="F36" s="64"/>
      <c r="G36" s="2"/>
      <c r="H36" s="3"/>
      <c r="I36" s="2"/>
      <c r="J36" s="65"/>
    </row>
    <row r="37" spans="1:10" s="66" customFormat="1" ht="12.75" x14ac:dyDescent="0.2">
      <c r="A37" s="11" t="s">
        <v>185</v>
      </c>
      <c r="B37" s="11"/>
      <c r="C37" s="11"/>
      <c r="D37" s="3"/>
      <c r="E37" s="3"/>
      <c r="F37" s="64"/>
      <c r="G37" s="2"/>
      <c r="H37" s="3"/>
      <c r="I37" s="2"/>
      <c r="J37" s="65"/>
    </row>
    <row r="38" spans="1:10" s="66" customFormat="1" ht="12.75" x14ac:dyDescent="0.2">
      <c r="A38" s="11" t="s">
        <v>186</v>
      </c>
      <c r="B38" s="11"/>
      <c r="C38" s="11"/>
      <c r="D38" s="3"/>
      <c r="E38" s="3"/>
      <c r="F38" s="64"/>
      <c r="G38" s="2"/>
      <c r="H38" s="3"/>
      <c r="I38" s="2"/>
      <c r="J38" s="65"/>
    </row>
    <row r="39" spans="1:10" s="66" customFormat="1" ht="12.75" x14ac:dyDescent="0.2">
      <c r="A39" s="11" t="s">
        <v>187</v>
      </c>
      <c r="B39" s="11"/>
      <c r="C39" s="11"/>
      <c r="D39" s="3"/>
      <c r="E39" s="3"/>
      <c r="F39" s="64"/>
      <c r="G39" s="2"/>
      <c r="H39" s="3"/>
      <c r="I39" s="2"/>
      <c r="J39" s="65"/>
    </row>
    <row r="40" spans="1:10" s="66" customFormat="1" ht="12.75" x14ac:dyDescent="0.2">
      <c r="A40" s="11" t="s">
        <v>188</v>
      </c>
      <c r="B40" s="11"/>
      <c r="C40" s="11"/>
      <c r="D40" s="3"/>
      <c r="E40" s="3"/>
      <c r="F40" s="64"/>
      <c r="G40" s="2"/>
      <c r="H40" s="3"/>
      <c r="I40" s="2"/>
      <c r="J40" s="65"/>
    </row>
    <row r="41" spans="1:10" s="66" customFormat="1" ht="12.75" x14ac:dyDescent="0.2">
      <c r="A41" s="11" t="s">
        <v>189</v>
      </c>
      <c r="B41" s="11"/>
      <c r="C41" s="11"/>
      <c r="D41" s="3"/>
      <c r="E41" s="3"/>
      <c r="F41" s="64"/>
      <c r="G41" s="2"/>
      <c r="H41" s="3"/>
      <c r="I41" s="2"/>
      <c r="J41" s="65"/>
    </row>
    <row r="42" spans="1:10" s="66" customFormat="1" ht="12.75" x14ac:dyDescent="0.2">
      <c r="A42" s="11" t="s">
        <v>190</v>
      </c>
      <c r="B42" s="11"/>
      <c r="C42" s="11"/>
      <c r="D42" s="3"/>
      <c r="E42" s="3"/>
      <c r="F42" s="64"/>
      <c r="G42" s="2"/>
      <c r="H42" s="3"/>
      <c r="I42" s="2"/>
      <c r="J42" s="65"/>
    </row>
    <row r="43" spans="1:10" s="66" customFormat="1" ht="12.75" x14ac:dyDescent="0.2">
      <c r="A43" s="11" t="s">
        <v>191</v>
      </c>
      <c r="B43" s="11"/>
      <c r="C43" s="11"/>
      <c r="D43" s="3"/>
      <c r="E43" s="3"/>
      <c r="F43" s="64"/>
      <c r="G43" s="2"/>
      <c r="H43" s="3"/>
      <c r="I43" s="2"/>
      <c r="J43" s="65"/>
    </row>
    <row r="44" spans="1:10" s="66" customFormat="1" ht="12.75" x14ac:dyDescent="0.2">
      <c r="A44" s="11" t="s">
        <v>192</v>
      </c>
      <c r="B44" s="11"/>
      <c r="C44" s="11"/>
      <c r="D44" s="3"/>
      <c r="E44" s="3"/>
      <c r="F44" s="64"/>
      <c r="G44" s="2"/>
      <c r="H44" s="3"/>
      <c r="I44" s="2"/>
      <c r="J44" s="65"/>
    </row>
    <row r="45" spans="1:10" s="66" customFormat="1" ht="12.75" x14ac:dyDescent="0.2">
      <c r="A45" s="11" t="s">
        <v>193</v>
      </c>
      <c r="B45" s="11"/>
      <c r="C45" s="11"/>
      <c r="D45" s="3"/>
      <c r="E45" s="3"/>
      <c r="F45" s="64"/>
      <c r="G45" s="2"/>
      <c r="H45" s="3"/>
      <c r="I45" s="2"/>
      <c r="J45" s="65"/>
    </row>
    <row r="46" spans="1:10" s="66" customFormat="1" ht="12.75" x14ac:dyDescent="0.2">
      <c r="A46" s="11" t="s">
        <v>194</v>
      </c>
      <c r="B46" s="11"/>
      <c r="C46" s="11"/>
      <c r="D46" s="3"/>
      <c r="E46" s="3"/>
      <c r="F46" s="64"/>
      <c r="G46" s="2"/>
      <c r="H46" s="3"/>
      <c r="I46" s="2"/>
      <c r="J46" s="65"/>
    </row>
    <row r="47" spans="1:10" s="66" customFormat="1" ht="12.75" x14ac:dyDescent="0.2">
      <c r="A47" s="11" t="s">
        <v>195</v>
      </c>
      <c r="B47" s="11"/>
      <c r="C47" s="11"/>
      <c r="D47" s="3"/>
      <c r="E47" s="3"/>
      <c r="F47" s="64"/>
      <c r="G47" s="2"/>
      <c r="H47" s="3"/>
      <c r="I47" s="2"/>
      <c r="J47" s="65"/>
    </row>
    <row r="48" spans="1:10" s="66" customFormat="1" ht="12.75" x14ac:dyDescent="0.2">
      <c r="A48" s="11" t="s">
        <v>196</v>
      </c>
      <c r="B48" s="11"/>
      <c r="C48" s="11"/>
      <c r="D48" s="3"/>
      <c r="E48" s="3"/>
      <c r="F48" s="64"/>
      <c r="G48" s="2"/>
      <c r="H48" s="3"/>
      <c r="I48" s="2"/>
      <c r="J48" s="65"/>
    </row>
    <row r="49" spans="1:10" s="66" customFormat="1" ht="12.75" x14ac:dyDescent="0.2">
      <c r="A49" s="11" t="s">
        <v>197</v>
      </c>
      <c r="B49" s="11"/>
      <c r="C49" s="11"/>
      <c r="D49" s="3"/>
      <c r="E49" s="3"/>
      <c r="F49" s="64"/>
      <c r="G49" s="2"/>
      <c r="H49" s="3"/>
      <c r="I49" s="2"/>
      <c r="J49" s="65"/>
    </row>
    <row r="50" spans="1:10" s="66" customFormat="1" ht="12.75" x14ac:dyDescent="0.2">
      <c r="A50" s="11" t="s">
        <v>198</v>
      </c>
      <c r="B50" s="11"/>
      <c r="C50" s="11"/>
      <c r="D50" s="3"/>
      <c r="E50" s="3"/>
      <c r="F50" s="64"/>
      <c r="G50" s="2"/>
      <c r="H50" s="3"/>
      <c r="I50" s="2"/>
      <c r="J50" s="65"/>
    </row>
    <row r="51" spans="1:10" s="66" customFormat="1" ht="12.75" x14ac:dyDescent="0.2">
      <c r="A51" s="11" t="s">
        <v>199</v>
      </c>
      <c r="B51" s="11"/>
      <c r="C51" s="11"/>
      <c r="D51" s="3"/>
      <c r="E51" s="3"/>
      <c r="F51" s="64"/>
      <c r="G51" s="2"/>
      <c r="H51" s="3"/>
      <c r="I51" s="2"/>
      <c r="J51" s="65"/>
    </row>
    <row r="52" spans="1:10" s="66" customFormat="1" ht="12.75" x14ac:dyDescent="0.2">
      <c r="A52" s="11" t="s">
        <v>200</v>
      </c>
      <c r="B52" s="11"/>
      <c r="C52" s="11"/>
      <c r="D52" s="3"/>
      <c r="E52" s="3"/>
      <c r="F52" s="64"/>
      <c r="G52" s="2"/>
      <c r="H52" s="3"/>
      <c r="I52" s="2"/>
      <c r="J52" s="65"/>
    </row>
    <row r="53" spans="1:10" s="66" customFormat="1" ht="12.75" x14ac:dyDescent="0.2">
      <c r="A53" s="11" t="s">
        <v>201</v>
      </c>
      <c r="B53" s="11"/>
      <c r="C53" s="11"/>
      <c r="D53" s="3"/>
      <c r="E53" s="3"/>
      <c r="F53" s="64"/>
      <c r="G53" s="2"/>
      <c r="H53" s="3"/>
      <c r="I53" s="2"/>
      <c r="J53" s="65"/>
    </row>
    <row r="54" spans="1:10" s="66" customFormat="1" ht="12.75" x14ac:dyDescent="0.2">
      <c r="A54" s="11" t="s">
        <v>202</v>
      </c>
      <c r="B54" s="11"/>
      <c r="C54" s="11"/>
      <c r="D54" s="3"/>
      <c r="E54" s="3"/>
      <c r="F54" s="64"/>
      <c r="G54" s="2"/>
      <c r="H54" s="3"/>
      <c r="I54" s="2"/>
      <c r="J54" s="65"/>
    </row>
    <row r="55" spans="1:10" s="66" customFormat="1" ht="12.75" x14ac:dyDescent="0.2">
      <c r="A55" s="11" t="s">
        <v>203</v>
      </c>
      <c r="B55" s="11"/>
      <c r="C55" s="11"/>
      <c r="D55" s="3"/>
      <c r="E55" s="3"/>
      <c r="F55" s="64"/>
      <c r="G55" s="2"/>
      <c r="H55" s="3"/>
      <c r="I55" s="2"/>
      <c r="J55" s="65"/>
    </row>
    <row r="56" spans="1:10" s="66" customFormat="1" ht="12.75" x14ac:dyDescent="0.2">
      <c r="A56" s="11" t="s">
        <v>204</v>
      </c>
      <c r="B56" s="11"/>
      <c r="C56" s="11"/>
      <c r="D56" s="3"/>
      <c r="E56" s="3"/>
      <c r="F56" s="64"/>
      <c r="G56" s="2"/>
      <c r="H56" s="3"/>
      <c r="I56" s="2"/>
      <c r="J56" s="65"/>
    </row>
    <row r="57" spans="1:10" s="66" customFormat="1" ht="12.75" x14ac:dyDescent="0.2">
      <c r="A57" s="11" t="s">
        <v>205</v>
      </c>
      <c r="B57" s="11"/>
      <c r="C57" s="11"/>
      <c r="D57" s="3"/>
      <c r="E57" s="3"/>
      <c r="F57" s="64"/>
      <c r="G57" s="2"/>
      <c r="H57" s="3"/>
      <c r="I57" s="2"/>
      <c r="J57" s="65"/>
    </row>
    <row r="58" spans="1:10" s="66" customFormat="1" ht="12.75" x14ac:dyDescent="0.2">
      <c r="A58" s="11" t="s">
        <v>206</v>
      </c>
      <c r="B58" s="11"/>
      <c r="C58" s="11"/>
      <c r="D58" s="3"/>
      <c r="E58" s="3"/>
      <c r="F58" s="64"/>
      <c r="G58" s="2"/>
      <c r="H58" s="3"/>
      <c r="I58" s="2"/>
      <c r="J58" s="65"/>
    </row>
    <row r="59" spans="1:10" s="66" customFormat="1" ht="12.75" x14ac:dyDescent="0.2">
      <c r="A59" s="11" t="s">
        <v>207</v>
      </c>
      <c r="B59" s="11"/>
      <c r="C59" s="11"/>
      <c r="D59" s="3"/>
      <c r="E59" s="3"/>
      <c r="F59" s="64"/>
      <c r="G59" s="2"/>
      <c r="H59" s="3"/>
      <c r="I59" s="2"/>
      <c r="J59" s="65"/>
    </row>
    <row r="60" spans="1:10" s="66" customFormat="1" ht="12.75" x14ac:dyDescent="0.2">
      <c r="A60" s="11" t="s">
        <v>208</v>
      </c>
      <c r="B60" s="11"/>
      <c r="C60" s="11"/>
      <c r="D60" s="3"/>
      <c r="E60" s="3"/>
      <c r="F60" s="64"/>
      <c r="G60" s="2"/>
      <c r="H60" s="3"/>
      <c r="I60" s="2"/>
      <c r="J60" s="65"/>
    </row>
    <row r="61" spans="1:10" s="66" customFormat="1" ht="12.75" x14ac:dyDescent="0.2">
      <c r="A61" s="11" t="s">
        <v>209</v>
      </c>
      <c r="B61" s="11"/>
      <c r="C61" s="11"/>
      <c r="D61" s="3"/>
      <c r="E61" s="3"/>
      <c r="F61" s="64"/>
      <c r="G61" s="2"/>
      <c r="H61" s="3"/>
      <c r="I61" s="2"/>
      <c r="J61" s="65"/>
    </row>
    <row r="62" spans="1:10" s="66" customFormat="1" ht="12.75" x14ac:dyDescent="0.2">
      <c r="A62" s="11" t="s">
        <v>210</v>
      </c>
      <c r="B62" s="11"/>
      <c r="C62" s="11"/>
      <c r="D62" s="3"/>
      <c r="E62" s="3"/>
      <c r="F62" s="64"/>
      <c r="G62" s="2"/>
      <c r="H62" s="3"/>
      <c r="I62" s="2"/>
      <c r="J62" s="65"/>
    </row>
    <row r="63" spans="1:10" s="66" customFormat="1" ht="12.75" x14ac:dyDescent="0.2">
      <c r="A63" s="11" t="s">
        <v>211</v>
      </c>
      <c r="B63" s="11"/>
      <c r="C63" s="11"/>
      <c r="D63" s="3"/>
      <c r="E63" s="3"/>
      <c r="F63" s="64"/>
      <c r="G63" s="2"/>
      <c r="H63" s="3"/>
      <c r="I63" s="2"/>
      <c r="J63" s="65"/>
    </row>
    <row r="64" spans="1:10" s="66" customFormat="1" ht="12.75" x14ac:dyDescent="0.2">
      <c r="A64" s="11" t="s">
        <v>212</v>
      </c>
      <c r="B64" s="11"/>
      <c r="C64" s="11"/>
      <c r="D64" s="3"/>
      <c r="E64" s="3"/>
      <c r="F64" s="64"/>
      <c r="G64" s="2"/>
      <c r="H64" s="3"/>
      <c r="I64" s="2"/>
      <c r="J64" s="65"/>
    </row>
    <row r="65" spans="1:10" s="66" customFormat="1" ht="12.75" x14ac:dyDescent="0.2">
      <c r="A65" s="11" t="s">
        <v>213</v>
      </c>
      <c r="B65" s="11"/>
      <c r="C65" s="11"/>
      <c r="D65" s="3"/>
      <c r="E65" s="3"/>
      <c r="F65" s="64"/>
      <c r="G65" s="2"/>
      <c r="H65" s="3"/>
      <c r="I65" s="2"/>
      <c r="J65" s="65"/>
    </row>
    <row r="66" spans="1:10" s="66" customFormat="1" ht="12.75" x14ac:dyDescent="0.2">
      <c r="A66" s="11" t="s">
        <v>214</v>
      </c>
      <c r="B66" s="11"/>
      <c r="C66" s="11"/>
      <c r="D66" s="3"/>
      <c r="E66" s="3"/>
      <c r="F66" s="67"/>
      <c r="G66" s="2"/>
      <c r="H66" s="3"/>
      <c r="I66" s="2"/>
      <c r="J66" s="65"/>
    </row>
    <row r="67" spans="1:10" s="66" customFormat="1" ht="12.75" x14ac:dyDescent="0.2">
      <c r="A67" s="11" t="s">
        <v>215</v>
      </c>
      <c r="B67" s="11"/>
      <c r="C67" s="11"/>
      <c r="D67" s="3"/>
      <c r="E67" s="3"/>
      <c r="F67" s="64"/>
      <c r="G67" s="2"/>
      <c r="H67" s="3"/>
      <c r="I67" s="2"/>
      <c r="J67" s="65"/>
    </row>
    <row r="68" spans="1:10" s="66" customFormat="1" ht="12.75" x14ac:dyDescent="0.2">
      <c r="A68" s="11" t="s">
        <v>216</v>
      </c>
      <c r="B68" s="11"/>
      <c r="C68" s="11"/>
      <c r="D68" s="3"/>
      <c r="E68" s="3"/>
      <c r="F68" s="67"/>
      <c r="G68" s="2"/>
      <c r="H68" s="3"/>
      <c r="I68" s="2"/>
      <c r="J68" s="65"/>
    </row>
    <row r="69" spans="1:10" s="66" customFormat="1" ht="12.75" x14ac:dyDescent="0.2">
      <c r="A69" s="11" t="s">
        <v>217</v>
      </c>
      <c r="B69" s="11"/>
      <c r="C69" s="11"/>
      <c r="D69" s="3"/>
      <c r="E69" s="3"/>
      <c r="F69" s="67"/>
      <c r="G69" s="2"/>
      <c r="H69" s="3"/>
      <c r="I69" s="2"/>
      <c r="J69" s="65"/>
    </row>
    <row r="70" spans="1:10" s="66" customFormat="1" ht="12.75" x14ac:dyDescent="0.2">
      <c r="A70" s="11" t="s">
        <v>218</v>
      </c>
      <c r="B70" s="11"/>
      <c r="C70" s="11"/>
      <c r="D70" s="3"/>
      <c r="E70" s="3"/>
      <c r="F70" s="67"/>
      <c r="G70" s="2"/>
      <c r="H70" s="3"/>
      <c r="I70" s="2"/>
      <c r="J70" s="65"/>
    </row>
    <row r="71" spans="1:10" s="66" customFormat="1" ht="12.75" x14ac:dyDescent="0.2">
      <c r="A71" s="11" t="s">
        <v>219</v>
      </c>
      <c r="B71" s="11"/>
      <c r="C71" s="11"/>
      <c r="D71" s="3"/>
      <c r="E71" s="3"/>
      <c r="F71" s="67"/>
      <c r="G71" s="2"/>
      <c r="H71" s="3"/>
      <c r="I71" s="2"/>
      <c r="J71" s="65"/>
    </row>
    <row r="72" spans="1:10" s="66" customFormat="1" ht="12.75" x14ac:dyDescent="0.2">
      <c r="A72" s="11" t="s">
        <v>220</v>
      </c>
      <c r="B72" s="11"/>
      <c r="C72" s="11"/>
      <c r="D72" s="3"/>
      <c r="E72" s="3"/>
      <c r="F72" s="67"/>
      <c r="G72" s="2"/>
      <c r="H72" s="3"/>
      <c r="I72" s="2"/>
      <c r="J72" s="65"/>
    </row>
    <row r="73" spans="1:10" s="66" customFormat="1" ht="12.75" x14ac:dyDescent="0.2">
      <c r="A73" s="11" t="s">
        <v>221</v>
      </c>
      <c r="B73" s="11"/>
      <c r="C73" s="11"/>
      <c r="D73" s="3"/>
      <c r="E73" s="3"/>
      <c r="F73" s="67"/>
      <c r="G73" s="2"/>
      <c r="H73" s="3"/>
      <c r="I73" s="2"/>
      <c r="J73" s="65"/>
    </row>
    <row r="74" spans="1:10" s="66" customFormat="1" ht="12.75" x14ac:dyDescent="0.2">
      <c r="A74" s="11" t="s">
        <v>222</v>
      </c>
      <c r="B74" s="11"/>
      <c r="C74" s="11"/>
      <c r="D74" s="3"/>
      <c r="E74" s="3"/>
      <c r="F74" s="67"/>
      <c r="G74" s="2"/>
      <c r="H74" s="3"/>
      <c r="I74" s="2"/>
      <c r="J74" s="65"/>
    </row>
    <row r="75" spans="1:10" s="66" customFormat="1" ht="12.75" x14ac:dyDescent="0.2">
      <c r="A75" s="11" t="s">
        <v>223</v>
      </c>
      <c r="B75" s="11"/>
      <c r="C75" s="11"/>
      <c r="D75" s="3"/>
      <c r="E75" s="3"/>
      <c r="F75" s="67"/>
      <c r="G75" s="2"/>
      <c r="H75" s="3"/>
      <c r="I75" s="2"/>
      <c r="J75" s="65"/>
    </row>
    <row r="76" spans="1:10" s="66" customFormat="1" ht="12.75" x14ac:dyDescent="0.2">
      <c r="A76" s="11" t="s">
        <v>224</v>
      </c>
      <c r="B76" s="11"/>
      <c r="C76" s="11"/>
      <c r="D76" s="3"/>
      <c r="E76" s="3"/>
      <c r="F76" s="67"/>
      <c r="G76" s="2"/>
      <c r="H76" s="3"/>
      <c r="I76" s="2"/>
      <c r="J76" s="65"/>
    </row>
    <row r="77" spans="1:10" s="66" customFormat="1" ht="12.75" x14ac:dyDescent="0.2">
      <c r="A77" s="11" t="s">
        <v>225</v>
      </c>
      <c r="B77" s="11"/>
      <c r="C77" s="11"/>
      <c r="D77" s="3"/>
      <c r="E77" s="3"/>
      <c r="F77" s="67"/>
      <c r="G77" s="2"/>
      <c r="H77" s="3"/>
      <c r="I77" s="2"/>
      <c r="J77" s="65"/>
    </row>
    <row r="78" spans="1:10" s="66" customFormat="1" ht="12.75" x14ac:dyDescent="0.2">
      <c r="A78" s="11" t="s">
        <v>226</v>
      </c>
      <c r="B78" s="11"/>
      <c r="C78" s="11"/>
      <c r="D78" s="3"/>
      <c r="E78" s="3"/>
      <c r="F78" s="67"/>
      <c r="G78" s="2"/>
      <c r="H78" s="3"/>
      <c r="I78" s="2"/>
      <c r="J78" s="65"/>
    </row>
    <row r="79" spans="1:10" s="66" customFormat="1" ht="12.75" x14ac:dyDescent="0.2">
      <c r="A79" s="11" t="s">
        <v>227</v>
      </c>
      <c r="B79" s="11"/>
      <c r="C79" s="11"/>
      <c r="D79" s="3"/>
      <c r="E79" s="3"/>
      <c r="F79" s="67"/>
      <c r="G79" s="2"/>
      <c r="H79" s="3"/>
      <c r="I79" s="2"/>
      <c r="J79" s="65"/>
    </row>
    <row r="80" spans="1:10" s="66" customFormat="1" ht="12.75" x14ac:dyDescent="0.2">
      <c r="A80" s="11" t="s">
        <v>228</v>
      </c>
      <c r="B80" s="11"/>
      <c r="C80" s="11"/>
      <c r="D80" s="3"/>
      <c r="E80" s="3"/>
      <c r="F80" s="67"/>
      <c r="G80" s="2"/>
      <c r="H80" s="3"/>
      <c r="I80" s="2"/>
      <c r="J80" s="65"/>
    </row>
    <row r="81" spans="1:10" s="66" customFormat="1" ht="12.75" x14ac:dyDescent="0.2">
      <c r="A81" s="11" t="s">
        <v>229</v>
      </c>
      <c r="B81" s="11"/>
      <c r="C81" s="11"/>
      <c r="D81" s="3"/>
      <c r="E81" s="3"/>
      <c r="F81" s="67"/>
      <c r="G81" s="2"/>
      <c r="H81" s="3"/>
      <c r="I81" s="2"/>
      <c r="J81" s="65"/>
    </row>
    <row r="82" spans="1:10" s="66" customFormat="1" ht="12.75" x14ac:dyDescent="0.2">
      <c r="A82" s="11" t="s">
        <v>230</v>
      </c>
      <c r="B82" s="11"/>
      <c r="C82" s="11"/>
      <c r="D82" s="3"/>
      <c r="E82" s="3"/>
      <c r="F82" s="67"/>
      <c r="G82" s="2"/>
      <c r="H82" s="3"/>
      <c r="I82" s="2"/>
      <c r="J82" s="65"/>
    </row>
    <row r="83" spans="1:10" s="66" customFormat="1" ht="12.75" x14ac:dyDescent="0.2">
      <c r="A83" s="11" t="s">
        <v>231</v>
      </c>
      <c r="B83" s="11"/>
      <c r="C83" s="11"/>
      <c r="D83" s="3"/>
      <c r="E83" s="3"/>
      <c r="F83" s="67"/>
      <c r="G83" s="2"/>
      <c r="H83" s="3"/>
      <c r="I83" s="2"/>
      <c r="J83" s="65"/>
    </row>
    <row r="84" spans="1:10" s="66" customFormat="1" ht="12.75" x14ac:dyDescent="0.2">
      <c r="A84" s="11" t="s">
        <v>232</v>
      </c>
      <c r="B84" s="11"/>
      <c r="C84" s="11"/>
      <c r="D84" s="3"/>
      <c r="E84" s="3"/>
      <c r="F84" s="67"/>
      <c r="G84" s="2"/>
      <c r="H84" s="3"/>
      <c r="I84" s="2"/>
      <c r="J84" s="65"/>
    </row>
    <row r="85" spans="1:10" s="66" customFormat="1" ht="12.75" x14ac:dyDescent="0.2">
      <c r="A85" s="11" t="s">
        <v>233</v>
      </c>
      <c r="B85" s="11"/>
      <c r="C85" s="11"/>
      <c r="D85" s="3"/>
      <c r="E85" s="3"/>
      <c r="F85" s="67"/>
      <c r="G85" s="2"/>
      <c r="H85" s="3"/>
      <c r="I85" s="2"/>
      <c r="J85" s="65"/>
    </row>
    <row r="86" spans="1:10" s="66" customFormat="1" ht="12.75" x14ac:dyDescent="0.2">
      <c r="A86" s="11" t="s">
        <v>234</v>
      </c>
      <c r="B86" s="11"/>
      <c r="C86" s="11"/>
      <c r="D86" s="3"/>
      <c r="E86" s="3"/>
      <c r="F86" s="67"/>
      <c r="G86" s="2"/>
      <c r="H86" s="3"/>
      <c r="I86" s="2"/>
      <c r="J86" s="65"/>
    </row>
    <row r="87" spans="1:10" s="66" customFormat="1" ht="12.75" x14ac:dyDescent="0.2">
      <c r="A87" s="11" t="s">
        <v>235</v>
      </c>
      <c r="B87" s="11"/>
      <c r="C87" s="11"/>
      <c r="D87" s="3"/>
      <c r="E87" s="3"/>
      <c r="F87" s="67"/>
      <c r="G87" s="2"/>
      <c r="H87" s="3"/>
      <c r="I87" s="2"/>
      <c r="J87" s="65"/>
    </row>
    <row r="88" spans="1:10" s="66" customFormat="1" ht="12.75" x14ac:dyDescent="0.2">
      <c r="A88" s="11" t="s">
        <v>236</v>
      </c>
      <c r="B88" s="11"/>
      <c r="C88" s="11"/>
      <c r="D88" s="3"/>
      <c r="E88" s="3"/>
      <c r="F88" s="67"/>
      <c r="G88" s="2"/>
      <c r="H88" s="3"/>
      <c r="I88" s="2"/>
      <c r="J88" s="65"/>
    </row>
    <row r="89" spans="1:10" s="66" customFormat="1" ht="12.75" x14ac:dyDescent="0.2">
      <c r="A89" s="11" t="s">
        <v>237</v>
      </c>
      <c r="B89" s="11"/>
      <c r="C89" s="11"/>
      <c r="D89" s="3"/>
      <c r="E89" s="3"/>
      <c r="F89" s="67"/>
      <c r="G89" s="2"/>
      <c r="H89" s="3"/>
      <c r="I89" s="2"/>
      <c r="J89" s="65"/>
    </row>
    <row r="90" spans="1:10" s="66" customFormat="1" ht="12.75" x14ac:dyDescent="0.2">
      <c r="A90" s="11" t="s">
        <v>238</v>
      </c>
      <c r="B90" s="11"/>
      <c r="C90" s="11"/>
      <c r="D90" s="3"/>
      <c r="E90" s="3"/>
      <c r="F90" s="67"/>
      <c r="G90" s="2"/>
      <c r="H90" s="3"/>
      <c r="I90" s="2"/>
      <c r="J90" s="65"/>
    </row>
    <row r="91" spans="1:10" s="66" customFormat="1" ht="12.75" x14ac:dyDescent="0.2">
      <c r="A91" s="11" t="s">
        <v>239</v>
      </c>
      <c r="B91" s="11"/>
      <c r="C91" s="11"/>
      <c r="D91" s="3"/>
      <c r="E91" s="3"/>
      <c r="F91" s="67"/>
      <c r="G91" s="2"/>
      <c r="H91" s="3"/>
      <c r="I91" s="2"/>
      <c r="J91" s="65"/>
    </row>
    <row r="92" spans="1:10" s="66" customFormat="1" ht="12.75" x14ac:dyDescent="0.2">
      <c r="A92" s="11" t="s">
        <v>240</v>
      </c>
      <c r="B92" s="11"/>
      <c r="C92" s="11"/>
      <c r="D92" s="3"/>
      <c r="E92" s="3"/>
      <c r="F92" s="67"/>
      <c r="G92" s="2"/>
      <c r="H92" s="3"/>
      <c r="I92" s="2"/>
      <c r="J92" s="65"/>
    </row>
    <row r="93" spans="1:10" s="66" customFormat="1" ht="12.75" x14ac:dyDescent="0.2">
      <c r="A93" s="11" t="s">
        <v>241</v>
      </c>
      <c r="B93" s="11"/>
      <c r="C93" s="11"/>
      <c r="D93" s="3"/>
      <c r="E93" s="3"/>
      <c r="F93" s="67"/>
      <c r="G93" s="2"/>
      <c r="H93" s="3"/>
      <c r="I93" s="2"/>
      <c r="J93" s="65"/>
    </row>
    <row r="94" spans="1:10" s="66" customFormat="1" ht="12.75" x14ac:dyDescent="0.2">
      <c r="A94" s="11" t="s">
        <v>242</v>
      </c>
      <c r="B94" s="11"/>
      <c r="C94" s="11"/>
      <c r="D94" s="3"/>
      <c r="E94" s="3"/>
      <c r="F94" s="67"/>
      <c r="G94" s="2"/>
      <c r="H94" s="3"/>
      <c r="I94" s="2"/>
      <c r="J94" s="65"/>
    </row>
    <row r="95" spans="1:10" s="66" customFormat="1" ht="12.75" x14ac:dyDescent="0.2">
      <c r="A95" s="11" t="s">
        <v>243</v>
      </c>
      <c r="B95" s="11"/>
      <c r="C95" s="11"/>
      <c r="D95" s="3"/>
      <c r="E95" s="3"/>
      <c r="F95" s="67"/>
      <c r="G95" s="2"/>
      <c r="H95" s="3"/>
      <c r="I95" s="2"/>
      <c r="J95" s="65"/>
    </row>
    <row r="96" spans="1:10" s="66" customFormat="1" ht="12.75" x14ac:dyDescent="0.2">
      <c r="A96" s="11" t="s">
        <v>244</v>
      </c>
      <c r="B96" s="11"/>
      <c r="C96" s="11"/>
      <c r="D96" s="3"/>
      <c r="E96" s="3"/>
      <c r="F96" s="67"/>
      <c r="G96" s="2"/>
      <c r="H96" s="3"/>
      <c r="I96" s="2"/>
      <c r="J96" s="65"/>
    </row>
    <row r="97" spans="1:10" s="66" customFormat="1" ht="12.75" x14ac:dyDescent="0.2">
      <c r="A97" s="11" t="s">
        <v>245</v>
      </c>
      <c r="B97" s="11"/>
      <c r="C97" s="11"/>
      <c r="D97" s="3"/>
      <c r="E97" s="3"/>
      <c r="F97" s="67"/>
      <c r="G97" s="2"/>
      <c r="H97" s="3"/>
      <c r="I97" s="2"/>
      <c r="J97" s="65"/>
    </row>
    <row r="98" spans="1:10" s="66" customFormat="1" ht="12.75" x14ac:dyDescent="0.2">
      <c r="A98" s="11" t="s">
        <v>246</v>
      </c>
      <c r="B98" s="11"/>
      <c r="C98" s="11"/>
      <c r="D98" s="3"/>
      <c r="E98" s="3"/>
      <c r="F98" s="67"/>
      <c r="G98" s="2"/>
      <c r="H98" s="3"/>
      <c r="I98" s="2"/>
      <c r="J98" s="65"/>
    </row>
    <row r="99" spans="1:10" s="66" customFormat="1" ht="12.75" x14ac:dyDescent="0.2">
      <c r="A99" s="11" t="s">
        <v>247</v>
      </c>
      <c r="B99" s="11"/>
      <c r="C99" s="11"/>
      <c r="D99" s="3"/>
      <c r="E99" s="3"/>
      <c r="F99" s="67"/>
      <c r="G99" s="2"/>
      <c r="H99" s="3"/>
      <c r="I99" s="2"/>
      <c r="J99" s="65"/>
    </row>
    <row r="100" spans="1:10" s="66" customFormat="1" ht="12.75" x14ac:dyDescent="0.2">
      <c r="A100" s="11" t="s">
        <v>248</v>
      </c>
      <c r="B100" s="11"/>
      <c r="C100" s="11"/>
      <c r="D100" s="3"/>
      <c r="E100" s="3"/>
      <c r="F100" s="67"/>
      <c r="G100" s="2"/>
      <c r="H100" s="3"/>
      <c r="I100" s="2"/>
      <c r="J100" s="65"/>
    </row>
    <row r="101" spans="1:10" s="66" customFormat="1" ht="12.75" x14ac:dyDescent="0.2">
      <c r="A101" s="11" t="s">
        <v>249</v>
      </c>
      <c r="B101" s="11"/>
      <c r="C101" s="11"/>
      <c r="D101" s="3"/>
      <c r="E101" s="3"/>
      <c r="F101" s="67"/>
      <c r="G101" s="2"/>
      <c r="H101" s="3"/>
      <c r="I101" s="2"/>
      <c r="J101" s="65"/>
    </row>
    <row r="102" spans="1:10" s="66" customFormat="1" ht="12.75" x14ac:dyDescent="0.2">
      <c r="A102" s="11" t="s">
        <v>250</v>
      </c>
      <c r="B102" s="11"/>
      <c r="C102" s="11"/>
      <c r="D102" s="3"/>
      <c r="E102" s="3"/>
      <c r="F102" s="67"/>
      <c r="G102" s="2"/>
      <c r="H102" s="3"/>
      <c r="I102" s="2"/>
      <c r="J102" s="65"/>
    </row>
    <row r="103" spans="1:10" s="66" customFormat="1" ht="12.75" x14ac:dyDescent="0.2">
      <c r="A103" s="11" t="s">
        <v>251</v>
      </c>
      <c r="B103" s="11"/>
      <c r="C103" s="11"/>
      <c r="D103" s="3"/>
      <c r="E103" s="3"/>
      <c r="F103" s="67"/>
      <c r="G103" s="2"/>
      <c r="H103" s="3"/>
      <c r="I103" s="2"/>
      <c r="J103" s="65"/>
    </row>
    <row r="104" spans="1:10" x14ac:dyDescent="0.2">
      <c r="A104" s="68"/>
      <c r="B104" s="68"/>
    </row>
    <row r="105" spans="1:10" x14ac:dyDescent="0.2">
      <c r="A105" s="68"/>
      <c r="B105" s="68"/>
    </row>
    <row r="106" spans="1:10" x14ac:dyDescent="0.2">
      <c r="A106" s="68"/>
      <c r="B106" s="68"/>
    </row>
    <row r="107" spans="1:10" x14ac:dyDescent="0.2">
      <c r="A107" s="68"/>
      <c r="B107" s="68"/>
    </row>
    <row r="108" spans="1:10" x14ac:dyDescent="0.2">
      <c r="A108" s="68"/>
      <c r="B108" s="68"/>
    </row>
    <row r="109" spans="1:10" x14ac:dyDescent="0.2">
      <c r="A109" s="68"/>
      <c r="B109" s="68"/>
    </row>
    <row r="110" spans="1:10" x14ac:dyDescent="0.2">
      <c r="A110" s="68"/>
      <c r="B110" s="68"/>
    </row>
    <row r="111" spans="1:10" x14ac:dyDescent="0.2">
      <c r="A111" s="68"/>
      <c r="B111" s="68"/>
    </row>
    <row r="112" spans="1:10" x14ac:dyDescent="0.2">
      <c r="A112" s="68"/>
      <c r="B112" s="68"/>
    </row>
    <row r="113" spans="1:2" x14ac:dyDescent="0.2">
      <c r="A113" s="68"/>
      <c r="B113" s="68"/>
    </row>
    <row r="114" spans="1:2" x14ac:dyDescent="0.2">
      <c r="A114" s="68"/>
      <c r="B114" s="68"/>
    </row>
    <row r="115" spans="1:2" x14ac:dyDescent="0.2">
      <c r="A115" s="68"/>
      <c r="B115" s="68"/>
    </row>
    <row r="116" spans="1:2" x14ac:dyDescent="0.2">
      <c r="A116" s="68"/>
      <c r="B116" s="68"/>
    </row>
    <row r="117" spans="1:2" x14ac:dyDescent="0.2">
      <c r="A117" s="68"/>
      <c r="B117" s="68"/>
    </row>
    <row r="118" spans="1:2" x14ac:dyDescent="0.2">
      <c r="A118" s="68"/>
      <c r="B118" s="68"/>
    </row>
    <row r="119" spans="1:2" x14ac:dyDescent="0.2">
      <c r="A119" s="68"/>
      <c r="B119" s="68"/>
    </row>
    <row r="120" spans="1:2" x14ac:dyDescent="0.2">
      <c r="A120" s="68"/>
      <c r="B120" s="68"/>
    </row>
    <row r="121" spans="1:2" x14ac:dyDescent="0.2">
      <c r="A121" s="68"/>
      <c r="B121" s="68"/>
    </row>
    <row r="122" spans="1:2" x14ac:dyDescent="0.2">
      <c r="A122" s="68"/>
      <c r="B122" s="68"/>
    </row>
    <row r="123" spans="1:2" x14ac:dyDescent="0.2">
      <c r="A123" s="68"/>
      <c r="B123" s="68"/>
    </row>
    <row r="124" spans="1:2" x14ac:dyDescent="0.2">
      <c r="A124" s="68"/>
      <c r="B124" s="68"/>
    </row>
    <row r="125" spans="1:2" x14ac:dyDescent="0.2">
      <c r="A125" s="68"/>
      <c r="B125" s="68"/>
    </row>
    <row r="126" spans="1:2" x14ac:dyDescent="0.2">
      <c r="A126" s="68"/>
      <c r="B126" s="68"/>
    </row>
    <row r="127" spans="1:2" x14ac:dyDescent="0.2">
      <c r="A127" s="68"/>
      <c r="B127" s="68"/>
    </row>
    <row r="128" spans="1:2" x14ac:dyDescent="0.2">
      <c r="A128" s="68"/>
      <c r="B128" s="68"/>
    </row>
    <row r="129" spans="1:2" x14ac:dyDescent="0.2">
      <c r="A129" s="68"/>
      <c r="B129" s="68"/>
    </row>
    <row r="130" spans="1:2" x14ac:dyDescent="0.2">
      <c r="A130" s="68"/>
      <c r="B130" s="68"/>
    </row>
    <row r="131" spans="1:2" x14ac:dyDescent="0.2">
      <c r="A131" s="68"/>
      <c r="B131" s="68"/>
    </row>
    <row r="132" spans="1:2" x14ac:dyDescent="0.2">
      <c r="A132" s="68"/>
      <c r="B132" s="68"/>
    </row>
    <row r="133" spans="1:2" x14ac:dyDescent="0.2">
      <c r="A133" s="68"/>
      <c r="B133" s="68"/>
    </row>
    <row r="134" spans="1:2" x14ac:dyDescent="0.2">
      <c r="A134" s="68"/>
      <c r="B134" s="68"/>
    </row>
    <row r="135" spans="1:2" x14ac:dyDescent="0.2">
      <c r="A135" s="68"/>
      <c r="B135" s="68"/>
    </row>
    <row r="136" spans="1:2" x14ac:dyDescent="0.2">
      <c r="A136" s="68"/>
      <c r="B136" s="68"/>
    </row>
    <row r="137" spans="1:2" x14ac:dyDescent="0.2">
      <c r="A137" s="68"/>
      <c r="B137" s="68"/>
    </row>
    <row r="138" spans="1:2" x14ac:dyDescent="0.2">
      <c r="A138" s="68"/>
      <c r="B138" s="68"/>
    </row>
    <row r="139" spans="1:2" x14ac:dyDescent="0.2">
      <c r="A139" s="68"/>
      <c r="B139" s="68"/>
    </row>
    <row r="140" spans="1:2" x14ac:dyDescent="0.2">
      <c r="A140" s="68"/>
      <c r="B140" s="68"/>
    </row>
    <row r="141" spans="1:2" x14ac:dyDescent="0.2">
      <c r="A141" s="68"/>
      <c r="B141" s="68"/>
    </row>
    <row r="142" spans="1:2" x14ac:dyDescent="0.2">
      <c r="A142" s="68"/>
      <c r="B142" s="68"/>
    </row>
    <row r="143" spans="1:2" x14ac:dyDescent="0.2">
      <c r="A143" s="68"/>
      <c r="B143" s="68"/>
    </row>
    <row r="144" spans="1:2" x14ac:dyDescent="0.2">
      <c r="A144" s="68"/>
      <c r="B144" s="68"/>
    </row>
    <row r="145" spans="1:2" x14ac:dyDescent="0.2">
      <c r="A145" s="68"/>
      <c r="B145" s="68"/>
    </row>
    <row r="146" spans="1:2" x14ac:dyDescent="0.2">
      <c r="A146" s="68"/>
      <c r="B146" s="68"/>
    </row>
    <row r="147" spans="1:2" x14ac:dyDescent="0.2">
      <c r="A147" s="68"/>
      <c r="B147" s="68"/>
    </row>
    <row r="148" spans="1:2" x14ac:dyDescent="0.2">
      <c r="A148" s="68"/>
      <c r="B148" s="68"/>
    </row>
    <row r="149" spans="1:2" x14ac:dyDescent="0.2">
      <c r="A149" s="68"/>
      <c r="B149" s="68"/>
    </row>
    <row r="150" spans="1:2" x14ac:dyDescent="0.2">
      <c r="A150" s="68"/>
      <c r="B150" s="68"/>
    </row>
    <row r="151" spans="1:2" x14ac:dyDescent="0.2">
      <c r="A151" s="68"/>
      <c r="B151" s="68"/>
    </row>
    <row r="152" spans="1:2" x14ac:dyDescent="0.2">
      <c r="A152" s="68"/>
      <c r="B152" s="68"/>
    </row>
    <row r="153" spans="1:2" x14ac:dyDescent="0.2">
      <c r="A153" s="68"/>
      <c r="B153" s="68"/>
    </row>
    <row r="154" spans="1:2" x14ac:dyDescent="0.2">
      <c r="A154" s="68"/>
      <c r="B154" s="68"/>
    </row>
    <row r="155" spans="1:2" x14ac:dyDescent="0.2">
      <c r="A155" s="68"/>
      <c r="B155" s="68"/>
    </row>
    <row r="156" spans="1:2" x14ac:dyDescent="0.2">
      <c r="A156" s="68"/>
      <c r="B156" s="68"/>
    </row>
    <row r="157" spans="1:2" x14ac:dyDescent="0.2">
      <c r="A157" s="68"/>
      <c r="B157" s="68"/>
    </row>
    <row r="158" spans="1:2" x14ac:dyDescent="0.2">
      <c r="A158" s="68"/>
      <c r="B158" s="68"/>
    </row>
    <row r="159" spans="1:2" x14ac:dyDescent="0.2">
      <c r="A159" s="68"/>
      <c r="B159" s="68"/>
    </row>
    <row r="160" spans="1:2" x14ac:dyDescent="0.2">
      <c r="A160" s="68"/>
      <c r="B160" s="68"/>
    </row>
    <row r="161" spans="1:2" x14ac:dyDescent="0.2">
      <c r="A161" s="68"/>
      <c r="B161" s="68"/>
    </row>
    <row r="162" spans="1:2" x14ac:dyDescent="0.2">
      <c r="A162" s="68"/>
      <c r="B162" s="68"/>
    </row>
    <row r="163" spans="1:2" x14ac:dyDescent="0.2">
      <c r="A163" s="68"/>
      <c r="B163" s="68"/>
    </row>
    <row r="164" spans="1:2" x14ac:dyDescent="0.2">
      <c r="A164" s="68"/>
      <c r="B164" s="68"/>
    </row>
    <row r="165" spans="1:2" x14ac:dyDescent="0.2">
      <c r="A165" s="68"/>
      <c r="B165" s="68"/>
    </row>
    <row r="166" spans="1:2" x14ac:dyDescent="0.2">
      <c r="A166" s="68"/>
      <c r="B166" s="68"/>
    </row>
    <row r="167" spans="1:2" x14ac:dyDescent="0.2">
      <c r="A167" s="68"/>
      <c r="B167" s="68"/>
    </row>
    <row r="168" spans="1:2" x14ac:dyDescent="0.2">
      <c r="A168" s="68"/>
      <c r="B168" s="68"/>
    </row>
    <row r="169" spans="1:2" x14ac:dyDescent="0.2">
      <c r="A169" s="68"/>
      <c r="B169" s="68"/>
    </row>
    <row r="170" spans="1:2" x14ac:dyDescent="0.2">
      <c r="A170" s="68"/>
      <c r="B170" s="68"/>
    </row>
    <row r="171" spans="1:2" x14ac:dyDescent="0.2">
      <c r="A171" s="68"/>
      <c r="B171" s="68"/>
    </row>
    <row r="172" spans="1:2" x14ac:dyDescent="0.2">
      <c r="A172" s="68"/>
      <c r="B172" s="68"/>
    </row>
    <row r="173" spans="1:2" x14ac:dyDescent="0.2">
      <c r="A173" s="68"/>
      <c r="B173" s="68"/>
    </row>
    <row r="174" spans="1:2" x14ac:dyDescent="0.2">
      <c r="A174" s="68"/>
      <c r="B174" s="68"/>
    </row>
    <row r="175" spans="1:2" x14ac:dyDescent="0.2">
      <c r="A175" s="68"/>
      <c r="B175" s="68"/>
    </row>
    <row r="176" spans="1:2" x14ac:dyDescent="0.2">
      <c r="A176" s="68"/>
      <c r="B176" s="68"/>
    </row>
    <row r="177" spans="1:2" x14ac:dyDescent="0.2">
      <c r="A177" s="68"/>
      <c r="B177" s="68"/>
    </row>
    <row r="178" spans="1:2" x14ac:dyDescent="0.2">
      <c r="A178" s="68"/>
      <c r="B178" s="68"/>
    </row>
    <row r="179" spans="1:2" x14ac:dyDescent="0.2">
      <c r="A179" s="68"/>
      <c r="B179" s="68"/>
    </row>
    <row r="180" spans="1:2" x14ac:dyDescent="0.2">
      <c r="A180" s="68"/>
      <c r="B180" s="68"/>
    </row>
    <row r="181" spans="1:2" x14ac:dyDescent="0.2">
      <c r="A181" s="68"/>
      <c r="B181" s="68"/>
    </row>
    <row r="182" spans="1:2" x14ac:dyDescent="0.2">
      <c r="A182" s="68"/>
      <c r="B182" s="68"/>
    </row>
    <row r="183" spans="1:2" x14ac:dyDescent="0.2">
      <c r="A183" s="68"/>
      <c r="B183" s="68"/>
    </row>
    <row r="184" spans="1:2" x14ac:dyDescent="0.2">
      <c r="A184" s="68"/>
      <c r="B184" s="68"/>
    </row>
    <row r="185" spans="1:2" x14ac:dyDescent="0.2">
      <c r="A185" s="68"/>
      <c r="B185" s="68"/>
    </row>
    <row r="186" spans="1:2" x14ac:dyDescent="0.2">
      <c r="A186" s="68"/>
      <c r="B186" s="68"/>
    </row>
    <row r="187" spans="1:2" x14ac:dyDescent="0.2">
      <c r="A187" s="68"/>
      <c r="B187" s="68"/>
    </row>
    <row r="188" spans="1:2" x14ac:dyDescent="0.2">
      <c r="A188" s="68"/>
      <c r="B188" s="68"/>
    </row>
    <row r="189" spans="1:2" x14ac:dyDescent="0.2">
      <c r="A189" s="68"/>
      <c r="B189" s="68"/>
    </row>
    <row r="190" spans="1:2" x14ac:dyDescent="0.2">
      <c r="A190" s="68"/>
      <c r="B190" s="68"/>
    </row>
    <row r="191" spans="1:2" x14ac:dyDescent="0.2">
      <c r="A191" s="68"/>
      <c r="B191" s="68"/>
    </row>
    <row r="192" spans="1:2" x14ac:dyDescent="0.2">
      <c r="A192" s="68"/>
      <c r="B192" s="68"/>
    </row>
    <row r="193" spans="1:2" x14ac:dyDescent="0.2">
      <c r="A193" s="68"/>
      <c r="B193" s="68"/>
    </row>
    <row r="194" spans="1:2" x14ac:dyDescent="0.2">
      <c r="A194" s="68"/>
      <c r="B194" s="68"/>
    </row>
    <row r="195" spans="1:2" x14ac:dyDescent="0.2">
      <c r="A195" s="68"/>
      <c r="B195" s="68"/>
    </row>
    <row r="196" spans="1:2" x14ac:dyDescent="0.2">
      <c r="A196" s="68"/>
      <c r="B196" s="68"/>
    </row>
    <row r="197" spans="1:2" x14ac:dyDescent="0.2">
      <c r="A197" s="68"/>
      <c r="B197" s="68"/>
    </row>
    <row r="198" spans="1:2" x14ac:dyDescent="0.2">
      <c r="A198" s="68"/>
      <c r="B198" s="68"/>
    </row>
    <row r="199" spans="1:2" x14ac:dyDescent="0.2">
      <c r="A199" s="68"/>
      <c r="B199" s="68"/>
    </row>
    <row r="200" spans="1:2" x14ac:dyDescent="0.2">
      <c r="A200" s="68"/>
      <c r="B200" s="68"/>
    </row>
    <row r="201" spans="1:2" x14ac:dyDescent="0.2">
      <c r="A201" s="68"/>
      <c r="B201" s="68"/>
    </row>
    <row r="202" spans="1:2" x14ac:dyDescent="0.2">
      <c r="A202" s="68"/>
      <c r="B202" s="68"/>
    </row>
    <row r="203" spans="1:2" x14ac:dyDescent="0.2">
      <c r="A203" s="68"/>
      <c r="B203" s="68"/>
    </row>
    <row r="204" spans="1:2" x14ac:dyDescent="0.2">
      <c r="A204" s="68"/>
      <c r="B204" s="68"/>
    </row>
    <row r="205" spans="1:2" x14ac:dyDescent="0.2">
      <c r="A205" s="68"/>
      <c r="B205" s="68"/>
    </row>
    <row r="206" spans="1:2" x14ac:dyDescent="0.2">
      <c r="A206" s="68"/>
      <c r="B206" s="68"/>
    </row>
    <row r="207" spans="1:2" x14ac:dyDescent="0.2">
      <c r="A207" s="68"/>
      <c r="B207" s="68"/>
    </row>
    <row r="208" spans="1:2" x14ac:dyDescent="0.2">
      <c r="A208" s="68"/>
      <c r="B208" s="68"/>
    </row>
    <row r="209" spans="1:2" x14ac:dyDescent="0.2">
      <c r="A209" s="68"/>
      <c r="B209" s="68"/>
    </row>
    <row r="210" spans="1:2" x14ac:dyDescent="0.2">
      <c r="A210" s="68"/>
      <c r="B210" s="68"/>
    </row>
    <row r="211" spans="1:2" x14ac:dyDescent="0.2">
      <c r="A211" s="68"/>
      <c r="B211" s="68"/>
    </row>
    <row r="212" spans="1:2" x14ac:dyDescent="0.2">
      <c r="A212" s="68"/>
      <c r="B212" s="68"/>
    </row>
    <row r="213" spans="1:2" x14ac:dyDescent="0.2">
      <c r="A213" s="68"/>
      <c r="B213" s="68"/>
    </row>
    <row r="214" spans="1:2" x14ac:dyDescent="0.2">
      <c r="A214" s="68"/>
      <c r="B214" s="68"/>
    </row>
    <row r="215" spans="1:2" x14ac:dyDescent="0.2">
      <c r="A215" s="68"/>
      <c r="B215" s="68"/>
    </row>
    <row r="216" spans="1:2" x14ac:dyDescent="0.2">
      <c r="A216" s="68"/>
      <c r="B216" s="68"/>
    </row>
    <row r="217" spans="1:2" x14ac:dyDescent="0.2">
      <c r="A217" s="68"/>
      <c r="B217" s="68"/>
    </row>
    <row r="218" spans="1:2" x14ac:dyDescent="0.2">
      <c r="A218" s="68"/>
      <c r="B218" s="68"/>
    </row>
    <row r="219" spans="1:2" x14ac:dyDescent="0.2">
      <c r="A219" s="68"/>
      <c r="B219" s="68"/>
    </row>
    <row r="220" spans="1:2" x14ac:dyDescent="0.2">
      <c r="A220" s="68"/>
      <c r="B220" s="68"/>
    </row>
    <row r="221" spans="1:2" x14ac:dyDescent="0.2">
      <c r="A221" s="68"/>
      <c r="B221" s="68"/>
    </row>
    <row r="222" spans="1:2" x14ac:dyDescent="0.2">
      <c r="A222" s="68"/>
      <c r="B222" s="68"/>
    </row>
    <row r="223" spans="1:2" x14ac:dyDescent="0.2">
      <c r="A223" s="68"/>
      <c r="B223" s="68"/>
    </row>
    <row r="224" spans="1:2" x14ac:dyDescent="0.2">
      <c r="A224" s="68"/>
      <c r="B224" s="68"/>
    </row>
    <row r="225" spans="1:2" x14ac:dyDescent="0.2">
      <c r="A225" s="68"/>
      <c r="B225" s="68"/>
    </row>
    <row r="226" spans="1:2" x14ac:dyDescent="0.2">
      <c r="A226" s="68"/>
      <c r="B226" s="68"/>
    </row>
    <row r="227" spans="1:2" x14ac:dyDescent="0.2">
      <c r="A227" s="68"/>
      <c r="B227" s="68"/>
    </row>
    <row r="228" spans="1:2" x14ac:dyDescent="0.2">
      <c r="A228" s="68"/>
      <c r="B228" s="68"/>
    </row>
    <row r="229" spans="1:2" x14ac:dyDescent="0.2">
      <c r="A229" s="68"/>
      <c r="B229" s="68"/>
    </row>
    <row r="230" spans="1:2" x14ac:dyDescent="0.2">
      <c r="A230" s="68"/>
      <c r="B230" s="68"/>
    </row>
    <row r="231" spans="1:2" x14ac:dyDescent="0.2">
      <c r="A231" s="68"/>
      <c r="B231" s="68"/>
    </row>
    <row r="232" spans="1:2" x14ac:dyDescent="0.2">
      <c r="A232" s="68"/>
      <c r="B232" s="68"/>
    </row>
    <row r="233" spans="1:2" x14ac:dyDescent="0.2">
      <c r="A233" s="68"/>
      <c r="B233" s="68"/>
    </row>
    <row r="234" spans="1:2" x14ac:dyDescent="0.2">
      <c r="A234" s="68"/>
      <c r="B234" s="68"/>
    </row>
    <row r="235" spans="1:2" x14ac:dyDescent="0.2">
      <c r="A235" s="68"/>
      <c r="B235" s="68"/>
    </row>
    <row r="236" spans="1:2" x14ac:dyDescent="0.2">
      <c r="A236" s="68"/>
      <c r="B236" s="68"/>
    </row>
    <row r="237" spans="1:2" x14ac:dyDescent="0.2">
      <c r="A237" s="68"/>
      <c r="B237" s="68"/>
    </row>
    <row r="238" spans="1:2" x14ac:dyDescent="0.2">
      <c r="A238" s="68"/>
      <c r="B238" s="68"/>
    </row>
    <row r="239" spans="1:2" x14ac:dyDescent="0.2">
      <c r="A239" s="68"/>
      <c r="B239" s="68"/>
    </row>
    <row r="240" spans="1:2" x14ac:dyDescent="0.2">
      <c r="A240" s="68"/>
      <c r="B240" s="68"/>
    </row>
    <row r="241" spans="1:2" x14ac:dyDescent="0.2">
      <c r="A241" s="68"/>
      <c r="B241" s="68"/>
    </row>
    <row r="242" spans="1:2" x14ac:dyDescent="0.2">
      <c r="A242" s="68"/>
      <c r="B242" s="68"/>
    </row>
    <row r="243" spans="1:2" x14ac:dyDescent="0.2">
      <c r="A243" s="68"/>
      <c r="B243" s="68"/>
    </row>
    <row r="244" spans="1:2" x14ac:dyDescent="0.2">
      <c r="A244" s="68"/>
      <c r="B244" s="68"/>
    </row>
    <row r="245" spans="1:2" x14ac:dyDescent="0.2">
      <c r="A245" s="68"/>
      <c r="B245" s="68"/>
    </row>
    <row r="246" spans="1:2" x14ac:dyDescent="0.2">
      <c r="A246" s="68"/>
      <c r="B246" s="68"/>
    </row>
    <row r="247" spans="1:2" x14ac:dyDescent="0.2">
      <c r="A247" s="68"/>
      <c r="B247" s="68"/>
    </row>
    <row r="248" spans="1:2" x14ac:dyDescent="0.2">
      <c r="A248" s="68"/>
      <c r="B248" s="68"/>
    </row>
    <row r="249" spans="1:2" x14ac:dyDescent="0.2">
      <c r="A249" s="68"/>
      <c r="B249" s="68"/>
    </row>
    <row r="250" spans="1:2" x14ac:dyDescent="0.2">
      <c r="A250" s="68"/>
      <c r="B250" s="68"/>
    </row>
    <row r="251" spans="1:2" x14ac:dyDescent="0.2">
      <c r="A251" s="68"/>
      <c r="B251" s="68"/>
    </row>
    <row r="252" spans="1:2" x14ac:dyDescent="0.2">
      <c r="A252" s="68"/>
      <c r="B252" s="68"/>
    </row>
    <row r="253" spans="1:2" x14ac:dyDescent="0.2">
      <c r="A253" s="68"/>
      <c r="B253" s="68"/>
    </row>
    <row r="254" spans="1:2" x14ac:dyDescent="0.2">
      <c r="A254" s="68"/>
      <c r="B254" s="68"/>
    </row>
    <row r="255" spans="1:2" x14ac:dyDescent="0.2">
      <c r="A255" s="68"/>
      <c r="B255" s="68"/>
    </row>
    <row r="256" spans="1:2" x14ac:dyDescent="0.2">
      <c r="A256" s="68"/>
      <c r="B256" s="68"/>
    </row>
    <row r="257" spans="1:2" x14ac:dyDescent="0.2">
      <c r="A257" s="68"/>
      <c r="B257" s="68"/>
    </row>
    <row r="258" spans="1:2" x14ac:dyDescent="0.2">
      <c r="A258" s="68"/>
      <c r="B258" s="68"/>
    </row>
    <row r="259" spans="1:2" x14ac:dyDescent="0.2">
      <c r="A259" s="68"/>
      <c r="B259" s="68"/>
    </row>
    <row r="260" spans="1:2" x14ac:dyDescent="0.2">
      <c r="A260" s="68"/>
      <c r="B260" s="68"/>
    </row>
    <row r="261" spans="1:2" x14ac:dyDescent="0.2">
      <c r="A261" s="68"/>
      <c r="B261" s="68"/>
    </row>
    <row r="262" spans="1:2" x14ac:dyDescent="0.2">
      <c r="A262" s="68"/>
      <c r="B262" s="68"/>
    </row>
    <row r="263" spans="1:2" x14ac:dyDescent="0.2">
      <c r="A263" s="68"/>
      <c r="B263" s="68"/>
    </row>
    <row r="264" spans="1:2" x14ac:dyDescent="0.2">
      <c r="A264" s="68"/>
      <c r="B264" s="68"/>
    </row>
    <row r="265" spans="1:2" x14ac:dyDescent="0.2">
      <c r="A265" s="68"/>
      <c r="B265" s="68"/>
    </row>
    <row r="266" spans="1:2" x14ac:dyDescent="0.2">
      <c r="A266" s="68"/>
      <c r="B266" s="68"/>
    </row>
    <row r="267" spans="1:2" x14ac:dyDescent="0.2">
      <c r="A267" s="68"/>
      <c r="B267" s="68"/>
    </row>
    <row r="268" spans="1:2" x14ac:dyDescent="0.2">
      <c r="A268" s="68"/>
      <c r="B268" s="68"/>
    </row>
    <row r="269" spans="1:2" x14ac:dyDescent="0.2">
      <c r="A269" s="68"/>
      <c r="B269" s="68"/>
    </row>
    <row r="270" spans="1:2" x14ac:dyDescent="0.2">
      <c r="A270" s="68"/>
      <c r="B270" s="68"/>
    </row>
    <row r="271" spans="1:2" x14ac:dyDescent="0.2">
      <c r="A271" s="68"/>
      <c r="B271" s="68"/>
    </row>
    <row r="272" spans="1:2" x14ac:dyDescent="0.2">
      <c r="A272" s="68"/>
      <c r="B272" s="68"/>
    </row>
    <row r="273" spans="1:2" x14ac:dyDescent="0.2">
      <c r="A273" s="68"/>
      <c r="B273" s="68"/>
    </row>
    <row r="274" spans="1:2" x14ac:dyDescent="0.2">
      <c r="A274" s="68"/>
      <c r="B274" s="68"/>
    </row>
    <row r="275" spans="1:2" x14ac:dyDescent="0.2">
      <c r="A275" s="68"/>
      <c r="B275" s="68"/>
    </row>
    <row r="276" spans="1:2" x14ac:dyDescent="0.2">
      <c r="A276" s="68"/>
      <c r="B276" s="68"/>
    </row>
    <row r="277" spans="1:2" x14ac:dyDescent="0.2">
      <c r="A277" s="68"/>
      <c r="B277" s="68"/>
    </row>
    <row r="278" spans="1:2" x14ac:dyDescent="0.2">
      <c r="A278" s="68"/>
      <c r="B278" s="68"/>
    </row>
    <row r="279" spans="1:2" x14ac:dyDescent="0.2">
      <c r="A279" s="68"/>
      <c r="B279" s="68"/>
    </row>
    <row r="280" spans="1:2" x14ac:dyDescent="0.2">
      <c r="A280" s="68"/>
      <c r="B280" s="68"/>
    </row>
    <row r="281" spans="1:2" x14ac:dyDescent="0.2">
      <c r="A281" s="68"/>
      <c r="B281" s="68"/>
    </row>
    <row r="282" spans="1:2" x14ac:dyDescent="0.2">
      <c r="A282" s="68"/>
      <c r="B282" s="68"/>
    </row>
    <row r="283" spans="1:2" x14ac:dyDescent="0.2">
      <c r="A283" s="68"/>
      <c r="B283" s="68"/>
    </row>
    <row r="284" spans="1:2" x14ac:dyDescent="0.2">
      <c r="A284" s="68"/>
      <c r="B284" s="68"/>
    </row>
    <row r="285" spans="1:2" x14ac:dyDescent="0.2">
      <c r="A285" s="68"/>
      <c r="B285" s="68"/>
    </row>
    <row r="286" spans="1:2" x14ac:dyDescent="0.2">
      <c r="A286" s="68"/>
      <c r="B286" s="68"/>
    </row>
    <row r="287" spans="1:2" x14ac:dyDescent="0.2">
      <c r="A287" s="68"/>
      <c r="B287" s="68"/>
    </row>
    <row r="288" spans="1:2" x14ac:dyDescent="0.2">
      <c r="A288" s="68"/>
      <c r="B288" s="68"/>
    </row>
    <row r="289" spans="1:2" x14ac:dyDescent="0.2">
      <c r="A289" s="68"/>
      <c r="B289" s="68"/>
    </row>
    <row r="290" spans="1:2" x14ac:dyDescent="0.2">
      <c r="A290" s="68"/>
      <c r="B290" s="68"/>
    </row>
    <row r="291" spans="1:2" x14ac:dyDescent="0.2">
      <c r="A291" s="68"/>
      <c r="B291" s="68"/>
    </row>
    <row r="292" spans="1:2" x14ac:dyDescent="0.2">
      <c r="A292" s="68"/>
      <c r="B292" s="68"/>
    </row>
    <row r="293" spans="1:2" x14ac:dyDescent="0.2">
      <c r="A293" s="68"/>
      <c r="B293" s="68"/>
    </row>
    <row r="294" spans="1:2" x14ac:dyDescent="0.2">
      <c r="A294" s="68"/>
      <c r="B294" s="68"/>
    </row>
    <row r="295" spans="1:2" x14ac:dyDescent="0.2">
      <c r="A295" s="68"/>
      <c r="B295" s="68"/>
    </row>
    <row r="296" spans="1:2" x14ac:dyDescent="0.2">
      <c r="A296" s="68"/>
      <c r="B296" s="68"/>
    </row>
    <row r="297" spans="1:2" x14ac:dyDescent="0.2">
      <c r="A297" s="68"/>
      <c r="B297" s="68"/>
    </row>
    <row r="298" spans="1:2" x14ac:dyDescent="0.2">
      <c r="A298" s="68"/>
      <c r="B298" s="68"/>
    </row>
    <row r="299" spans="1:2" x14ac:dyDescent="0.2">
      <c r="A299" s="68"/>
      <c r="B299" s="68"/>
    </row>
    <row r="300" spans="1:2" x14ac:dyDescent="0.2">
      <c r="A300" s="68"/>
      <c r="B300" s="68"/>
    </row>
    <row r="301" spans="1:2" x14ac:dyDescent="0.2">
      <c r="A301" s="68"/>
      <c r="B301" s="68"/>
    </row>
    <row r="302" spans="1:2" x14ac:dyDescent="0.2">
      <c r="A302" s="68"/>
      <c r="B302" s="68"/>
    </row>
    <row r="303" spans="1:2" x14ac:dyDescent="0.2">
      <c r="A303" s="68"/>
      <c r="B303" s="68"/>
    </row>
    <row r="304" spans="1:2" x14ac:dyDescent="0.2">
      <c r="A304" s="68"/>
      <c r="B304" s="68"/>
    </row>
    <row r="305" spans="1:2" x14ac:dyDescent="0.2">
      <c r="A305" s="68"/>
      <c r="B305" s="68"/>
    </row>
    <row r="306" spans="1:2" x14ac:dyDescent="0.2">
      <c r="A306" s="68"/>
      <c r="B306" s="68"/>
    </row>
    <row r="307" spans="1:2" x14ac:dyDescent="0.2">
      <c r="A307" s="68"/>
      <c r="B307" s="68"/>
    </row>
    <row r="308" spans="1:2" x14ac:dyDescent="0.2">
      <c r="A308" s="68"/>
      <c r="B308" s="68"/>
    </row>
    <row r="309" spans="1:2" x14ac:dyDescent="0.2">
      <c r="A309" s="68"/>
      <c r="B309" s="68"/>
    </row>
    <row r="310" spans="1:2" x14ac:dyDescent="0.2">
      <c r="A310" s="68"/>
      <c r="B310" s="68"/>
    </row>
    <row r="311" spans="1:2" x14ac:dyDescent="0.2">
      <c r="A311" s="68"/>
      <c r="B311" s="68"/>
    </row>
    <row r="312" spans="1:2" x14ac:dyDescent="0.2">
      <c r="A312" s="68"/>
      <c r="B312" s="68"/>
    </row>
    <row r="313" spans="1:2" x14ac:dyDescent="0.2">
      <c r="A313" s="68"/>
      <c r="B313" s="68"/>
    </row>
    <row r="314" spans="1:2" x14ac:dyDescent="0.2">
      <c r="A314" s="68"/>
      <c r="B314" s="68"/>
    </row>
    <row r="315" spans="1:2" x14ac:dyDescent="0.2">
      <c r="A315" s="68"/>
      <c r="B315" s="68"/>
    </row>
    <row r="316" spans="1:2" x14ac:dyDescent="0.2">
      <c r="A316" s="68"/>
      <c r="B316" s="68"/>
    </row>
    <row r="317" spans="1:2" x14ac:dyDescent="0.2">
      <c r="A317" s="68"/>
      <c r="B317" s="68"/>
    </row>
    <row r="318" spans="1:2" x14ac:dyDescent="0.2">
      <c r="A318" s="68"/>
      <c r="B318" s="68"/>
    </row>
    <row r="319" spans="1:2" x14ac:dyDescent="0.2">
      <c r="A319" s="68"/>
      <c r="B319" s="68"/>
    </row>
    <row r="320" spans="1:2" x14ac:dyDescent="0.2">
      <c r="A320" s="68"/>
      <c r="B320" s="68"/>
    </row>
    <row r="321" spans="1:2" x14ac:dyDescent="0.2">
      <c r="A321" s="68"/>
      <c r="B321" s="68"/>
    </row>
    <row r="322" spans="1:2" x14ac:dyDescent="0.2">
      <c r="A322" s="68"/>
      <c r="B322" s="68"/>
    </row>
    <row r="323" spans="1:2" x14ac:dyDescent="0.2">
      <c r="A323" s="68"/>
      <c r="B323" s="68"/>
    </row>
    <row r="324" spans="1:2" x14ac:dyDescent="0.2">
      <c r="A324" s="68"/>
      <c r="B324" s="68"/>
    </row>
    <row r="325" spans="1:2" x14ac:dyDescent="0.2">
      <c r="A325" s="68"/>
      <c r="B325" s="68"/>
    </row>
    <row r="326" spans="1:2" x14ac:dyDescent="0.2">
      <c r="A326" s="68"/>
      <c r="B326" s="68"/>
    </row>
    <row r="327" spans="1:2" x14ac:dyDescent="0.2">
      <c r="A327" s="68"/>
      <c r="B327" s="68"/>
    </row>
    <row r="328" spans="1:2" x14ac:dyDescent="0.2">
      <c r="A328" s="68"/>
      <c r="B328" s="68"/>
    </row>
    <row r="329" spans="1:2" x14ac:dyDescent="0.2">
      <c r="A329" s="68"/>
      <c r="B329" s="68"/>
    </row>
    <row r="330" spans="1:2" x14ac:dyDescent="0.2">
      <c r="A330" s="68"/>
      <c r="B330" s="68"/>
    </row>
    <row r="331" spans="1:2" x14ac:dyDescent="0.2">
      <c r="A331" s="68"/>
      <c r="B331" s="68"/>
    </row>
    <row r="332" spans="1:2" x14ac:dyDescent="0.2">
      <c r="A332" s="68"/>
      <c r="B332" s="68"/>
    </row>
    <row r="333" spans="1:2" x14ac:dyDescent="0.2">
      <c r="A333" s="68"/>
      <c r="B333" s="68"/>
    </row>
    <row r="334" spans="1:2" x14ac:dyDescent="0.2">
      <c r="A334" s="68"/>
      <c r="B334" s="68"/>
    </row>
    <row r="335" spans="1:2" x14ac:dyDescent="0.2">
      <c r="A335" s="68"/>
      <c r="B335" s="68"/>
    </row>
    <row r="336" spans="1:2" x14ac:dyDescent="0.2">
      <c r="A336" s="68"/>
      <c r="B336" s="68"/>
    </row>
    <row r="337" spans="1:2" x14ac:dyDescent="0.2">
      <c r="A337" s="68"/>
      <c r="B337" s="68"/>
    </row>
    <row r="338" spans="1:2" x14ac:dyDescent="0.2">
      <c r="A338" s="68"/>
      <c r="B338" s="68"/>
    </row>
    <row r="339" spans="1:2" x14ac:dyDescent="0.2">
      <c r="A339" s="68"/>
      <c r="B339" s="68"/>
    </row>
    <row r="340" spans="1:2" x14ac:dyDescent="0.2">
      <c r="A340" s="68"/>
      <c r="B340" s="68"/>
    </row>
    <row r="341" spans="1:2" x14ac:dyDescent="0.2">
      <c r="A341" s="68"/>
      <c r="B341" s="68"/>
    </row>
    <row r="342" spans="1:2" x14ac:dyDescent="0.2">
      <c r="A342" s="68"/>
      <c r="B342" s="68"/>
    </row>
    <row r="343" spans="1:2" x14ac:dyDescent="0.2">
      <c r="A343" s="68"/>
      <c r="B343" s="68"/>
    </row>
    <row r="344" spans="1:2" x14ac:dyDescent="0.2">
      <c r="A344" s="68"/>
      <c r="B344" s="68"/>
    </row>
    <row r="345" spans="1:2" x14ac:dyDescent="0.2">
      <c r="A345" s="68"/>
      <c r="B345" s="68"/>
    </row>
    <row r="346" spans="1:2" x14ac:dyDescent="0.2">
      <c r="A346" s="68"/>
      <c r="B346" s="68"/>
    </row>
    <row r="347" spans="1:2" x14ac:dyDescent="0.2">
      <c r="A347" s="68"/>
      <c r="B347" s="68"/>
    </row>
    <row r="348" spans="1:2" x14ac:dyDescent="0.2">
      <c r="A348" s="68"/>
      <c r="B348" s="68"/>
    </row>
    <row r="349" spans="1:2" x14ac:dyDescent="0.2">
      <c r="A349" s="68"/>
      <c r="B349" s="68"/>
    </row>
    <row r="350" spans="1:2" x14ac:dyDescent="0.2">
      <c r="A350" s="68"/>
      <c r="B350" s="68"/>
    </row>
    <row r="351" spans="1:2" x14ac:dyDescent="0.2">
      <c r="A351" s="68"/>
      <c r="B351" s="68"/>
    </row>
    <row r="352" spans="1:2" x14ac:dyDescent="0.2">
      <c r="A352" s="68"/>
      <c r="B352" s="68"/>
    </row>
    <row r="353" spans="1:2" x14ac:dyDescent="0.2">
      <c r="A353" s="68"/>
      <c r="B353" s="68"/>
    </row>
    <row r="354" spans="1:2" x14ac:dyDescent="0.2">
      <c r="A354" s="68"/>
      <c r="B354" s="68"/>
    </row>
    <row r="355" spans="1:2" x14ac:dyDescent="0.2">
      <c r="A355" s="68"/>
      <c r="B355" s="68"/>
    </row>
    <row r="356" spans="1:2" x14ac:dyDescent="0.2">
      <c r="A356" s="68"/>
      <c r="B356" s="68"/>
    </row>
    <row r="357" spans="1:2" x14ac:dyDescent="0.2">
      <c r="A357" s="68"/>
      <c r="B357" s="68"/>
    </row>
    <row r="358" spans="1:2" x14ac:dyDescent="0.2">
      <c r="A358" s="68"/>
      <c r="B358" s="68"/>
    </row>
    <row r="359" spans="1:2" x14ac:dyDescent="0.2">
      <c r="A359" s="68"/>
      <c r="B359" s="68"/>
    </row>
    <row r="360" spans="1:2" x14ac:dyDescent="0.2">
      <c r="A360" s="68"/>
      <c r="B360" s="68"/>
    </row>
    <row r="361" spans="1:2" x14ac:dyDescent="0.2">
      <c r="A361" s="68"/>
      <c r="B361" s="68"/>
    </row>
    <row r="362" spans="1:2" x14ac:dyDescent="0.2">
      <c r="A362" s="68"/>
      <c r="B362" s="68"/>
    </row>
    <row r="363" spans="1:2" x14ac:dyDescent="0.2">
      <c r="A363" s="68"/>
      <c r="B363" s="68"/>
    </row>
    <row r="364" spans="1:2" x14ac:dyDescent="0.2">
      <c r="A364" s="68"/>
      <c r="B364" s="68"/>
    </row>
    <row r="365" spans="1:2" x14ac:dyDescent="0.2">
      <c r="A365" s="68"/>
      <c r="B365" s="68"/>
    </row>
    <row r="366" spans="1:2" x14ac:dyDescent="0.2">
      <c r="A366" s="68"/>
      <c r="B366" s="68"/>
    </row>
    <row r="367" spans="1:2" x14ac:dyDescent="0.2">
      <c r="A367" s="68"/>
      <c r="B367" s="68"/>
    </row>
    <row r="368" spans="1:2" x14ac:dyDescent="0.2">
      <c r="A368" s="68"/>
      <c r="B368" s="68"/>
    </row>
    <row r="369" spans="1:2" x14ac:dyDescent="0.2">
      <c r="A369" s="68"/>
      <c r="B369" s="68"/>
    </row>
    <row r="370" spans="1:2" x14ac:dyDescent="0.2">
      <c r="A370" s="68"/>
      <c r="B370" s="68"/>
    </row>
    <row r="371" spans="1:2" x14ac:dyDescent="0.2">
      <c r="A371" s="68"/>
      <c r="B371" s="68"/>
    </row>
    <row r="372" spans="1:2" x14ac:dyDescent="0.2">
      <c r="A372" s="68"/>
      <c r="B372" s="68"/>
    </row>
    <row r="373" spans="1:2" x14ac:dyDescent="0.2">
      <c r="A373" s="68"/>
      <c r="B373" s="68"/>
    </row>
    <row r="374" spans="1:2" x14ac:dyDescent="0.2">
      <c r="A374" s="68"/>
      <c r="B374" s="68"/>
    </row>
    <row r="375" spans="1:2" x14ac:dyDescent="0.2">
      <c r="A375" s="68"/>
      <c r="B375" s="68"/>
    </row>
    <row r="376" spans="1:2" x14ac:dyDescent="0.2">
      <c r="A376" s="68"/>
      <c r="B376" s="68"/>
    </row>
    <row r="377" spans="1:2" x14ac:dyDescent="0.2">
      <c r="A377" s="68"/>
      <c r="B377" s="68"/>
    </row>
    <row r="378" spans="1:2" x14ac:dyDescent="0.2">
      <c r="A378" s="68"/>
      <c r="B378" s="68"/>
    </row>
    <row r="379" spans="1:2" x14ac:dyDescent="0.2">
      <c r="A379" s="68"/>
      <c r="B379" s="68"/>
    </row>
    <row r="380" spans="1:2" x14ac:dyDescent="0.2">
      <c r="A380" s="68"/>
      <c r="B380" s="68"/>
    </row>
    <row r="381" spans="1:2" x14ac:dyDescent="0.2">
      <c r="A381" s="68"/>
      <c r="B381" s="68"/>
    </row>
    <row r="382" spans="1:2" x14ac:dyDescent="0.2">
      <c r="A382" s="68"/>
      <c r="B382" s="68"/>
    </row>
    <row r="383" spans="1:2" x14ac:dyDescent="0.2">
      <c r="A383" s="68"/>
      <c r="B383" s="68"/>
    </row>
    <row r="384" spans="1:2" x14ac:dyDescent="0.2">
      <c r="A384" s="68"/>
      <c r="B384" s="68"/>
    </row>
    <row r="385" spans="1:2" x14ac:dyDescent="0.2">
      <c r="A385" s="68"/>
      <c r="B385" s="68"/>
    </row>
    <row r="386" spans="1:2" x14ac:dyDescent="0.2">
      <c r="A386" s="68"/>
      <c r="B386" s="68"/>
    </row>
    <row r="387" spans="1:2" x14ac:dyDescent="0.2">
      <c r="A387" s="68"/>
      <c r="B387" s="68"/>
    </row>
    <row r="388" spans="1:2" x14ac:dyDescent="0.2">
      <c r="A388" s="68"/>
      <c r="B388" s="68"/>
    </row>
    <row r="389" spans="1:2" x14ac:dyDescent="0.2">
      <c r="A389" s="68"/>
      <c r="B389" s="68"/>
    </row>
    <row r="390" spans="1:2" x14ac:dyDescent="0.2">
      <c r="A390" s="68"/>
      <c r="B390" s="68"/>
    </row>
    <row r="391" spans="1:2" x14ac:dyDescent="0.2">
      <c r="A391" s="68"/>
      <c r="B391" s="68"/>
    </row>
    <row r="392" spans="1:2" x14ac:dyDescent="0.2">
      <c r="A392" s="68"/>
      <c r="B392" s="68"/>
    </row>
    <row r="393" spans="1:2" x14ac:dyDescent="0.2">
      <c r="A393" s="68"/>
      <c r="B393" s="68"/>
    </row>
    <row r="394" spans="1:2" x14ac:dyDescent="0.2">
      <c r="A394" s="68"/>
      <c r="B394" s="68"/>
    </row>
    <row r="395" spans="1:2" x14ac:dyDescent="0.2">
      <c r="A395" s="68"/>
      <c r="B395" s="68"/>
    </row>
    <row r="396" spans="1:2" x14ac:dyDescent="0.2">
      <c r="A396" s="68"/>
      <c r="B396" s="68"/>
    </row>
    <row r="397" spans="1:2" x14ac:dyDescent="0.2">
      <c r="A397" s="68"/>
      <c r="B397" s="68"/>
    </row>
    <row r="398" spans="1:2" x14ac:dyDescent="0.2">
      <c r="A398" s="68"/>
      <c r="B398" s="68"/>
    </row>
    <row r="399" spans="1:2" x14ac:dyDescent="0.2">
      <c r="A399" s="68"/>
      <c r="B399" s="68"/>
    </row>
    <row r="400" spans="1:2" x14ac:dyDescent="0.2">
      <c r="A400" s="68"/>
      <c r="B400" s="68"/>
    </row>
    <row r="401" spans="1:2" x14ac:dyDescent="0.2">
      <c r="A401" s="68"/>
      <c r="B401" s="68"/>
    </row>
    <row r="402" spans="1:2" x14ac:dyDescent="0.2">
      <c r="A402" s="68"/>
      <c r="B402" s="68"/>
    </row>
    <row r="403" spans="1:2" x14ac:dyDescent="0.2">
      <c r="A403" s="68"/>
      <c r="B403" s="68"/>
    </row>
    <row r="404" spans="1:2" x14ac:dyDescent="0.2">
      <c r="A404" s="68"/>
      <c r="B404" s="68"/>
    </row>
    <row r="405" spans="1:2" x14ac:dyDescent="0.2">
      <c r="A405" s="68"/>
      <c r="B405" s="68"/>
    </row>
    <row r="406" spans="1:2" x14ac:dyDescent="0.2">
      <c r="A406" s="68"/>
      <c r="B406" s="68"/>
    </row>
    <row r="407" spans="1:2" x14ac:dyDescent="0.2">
      <c r="A407" s="68"/>
      <c r="B407" s="68"/>
    </row>
    <row r="408" spans="1:2" x14ac:dyDescent="0.2">
      <c r="A408" s="68"/>
      <c r="B408" s="68"/>
    </row>
    <row r="409" spans="1:2" x14ac:dyDescent="0.2">
      <c r="A409" s="68"/>
      <c r="B409" s="68"/>
    </row>
    <row r="410" spans="1:2" x14ac:dyDescent="0.2">
      <c r="A410" s="68"/>
      <c r="B410" s="68"/>
    </row>
    <row r="411" spans="1:2" x14ac:dyDescent="0.2">
      <c r="A411" s="68"/>
      <c r="B411" s="68"/>
    </row>
    <row r="412" spans="1:2" x14ac:dyDescent="0.2">
      <c r="A412" s="68"/>
      <c r="B412" s="68"/>
    </row>
    <row r="413" spans="1:2" x14ac:dyDescent="0.2">
      <c r="A413" s="68"/>
      <c r="B413" s="68"/>
    </row>
    <row r="414" spans="1:2" x14ac:dyDescent="0.2">
      <c r="A414" s="68"/>
      <c r="B414" s="68"/>
    </row>
    <row r="415" spans="1:2" x14ac:dyDescent="0.2">
      <c r="A415" s="68"/>
      <c r="B415" s="68"/>
    </row>
    <row r="416" spans="1:2" x14ac:dyDescent="0.2">
      <c r="A416" s="68"/>
      <c r="B416" s="68"/>
    </row>
    <row r="417" spans="1:2" x14ac:dyDescent="0.2">
      <c r="A417" s="68"/>
      <c r="B417" s="68"/>
    </row>
    <row r="418" spans="1:2" x14ac:dyDescent="0.2">
      <c r="A418" s="68"/>
      <c r="B418" s="68"/>
    </row>
    <row r="419" spans="1:2" x14ac:dyDescent="0.2">
      <c r="A419" s="68"/>
      <c r="B419" s="68"/>
    </row>
    <row r="420" spans="1:2" x14ac:dyDescent="0.2">
      <c r="A420" s="68"/>
      <c r="B420" s="68"/>
    </row>
    <row r="421" spans="1:2" x14ac:dyDescent="0.2">
      <c r="A421" s="68"/>
      <c r="B421" s="68"/>
    </row>
    <row r="422" spans="1:2" x14ac:dyDescent="0.2">
      <c r="A422" s="68"/>
      <c r="B422" s="68"/>
    </row>
    <row r="423" spans="1:2" x14ac:dyDescent="0.2">
      <c r="A423" s="68"/>
      <c r="B423" s="68"/>
    </row>
    <row r="424" spans="1:2" x14ac:dyDescent="0.2">
      <c r="A424" s="68"/>
      <c r="B424" s="68"/>
    </row>
    <row r="425" spans="1:2" x14ac:dyDescent="0.2">
      <c r="A425" s="68"/>
      <c r="B425" s="68"/>
    </row>
    <row r="426" spans="1:2" x14ac:dyDescent="0.2">
      <c r="A426" s="68"/>
      <c r="B426" s="68"/>
    </row>
    <row r="427" spans="1:2" x14ac:dyDescent="0.2">
      <c r="A427" s="68"/>
      <c r="B427" s="68"/>
    </row>
    <row r="428" spans="1:2" x14ac:dyDescent="0.2">
      <c r="A428" s="68"/>
      <c r="B428" s="68"/>
    </row>
    <row r="429" spans="1:2" x14ac:dyDescent="0.2">
      <c r="A429" s="68"/>
      <c r="B429" s="68"/>
    </row>
    <row r="430" spans="1:2" x14ac:dyDescent="0.2">
      <c r="A430" s="68"/>
      <c r="B430" s="68"/>
    </row>
    <row r="431" spans="1:2" x14ac:dyDescent="0.2">
      <c r="A431" s="68"/>
      <c r="B431" s="68"/>
    </row>
    <row r="432" spans="1:2" x14ac:dyDescent="0.2">
      <c r="A432" s="68"/>
      <c r="B432" s="68"/>
    </row>
    <row r="433" spans="1:2" x14ac:dyDescent="0.2">
      <c r="A433" s="68"/>
      <c r="B433" s="68"/>
    </row>
    <row r="434" spans="1:2" x14ac:dyDescent="0.2">
      <c r="A434" s="68"/>
      <c r="B434" s="68"/>
    </row>
    <row r="435" spans="1:2" x14ac:dyDescent="0.2">
      <c r="A435" s="68"/>
      <c r="B435" s="68"/>
    </row>
    <row r="436" spans="1:2" x14ac:dyDescent="0.2">
      <c r="A436" s="68"/>
      <c r="B436" s="68"/>
    </row>
    <row r="437" spans="1:2" x14ac:dyDescent="0.2">
      <c r="A437" s="68"/>
      <c r="B437" s="68"/>
    </row>
    <row r="438" spans="1:2" x14ac:dyDescent="0.2">
      <c r="A438" s="68"/>
      <c r="B438" s="68"/>
    </row>
    <row r="439" spans="1:2" x14ac:dyDescent="0.2">
      <c r="A439" s="68"/>
      <c r="B439" s="68"/>
    </row>
    <row r="440" spans="1:2" x14ac:dyDescent="0.2">
      <c r="A440" s="68"/>
      <c r="B440" s="68"/>
    </row>
    <row r="441" spans="1:2" x14ac:dyDescent="0.2">
      <c r="A441" s="68"/>
      <c r="B441" s="68"/>
    </row>
    <row r="442" spans="1:2" x14ac:dyDescent="0.2">
      <c r="A442" s="68"/>
      <c r="B442" s="68"/>
    </row>
    <row r="443" spans="1:2" x14ac:dyDescent="0.2">
      <c r="A443" s="68"/>
      <c r="B443" s="68"/>
    </row>
    <row r="444" spans="1:2" x14ac:dyDescent="0.2">
      <c r="A444" s="68"/>
      <c r="B444" s="68"/>
    </row>
    <row r="445" spans="1:2" x14ac:dyDescent="0.2">
      <c r="A445" s="68"/>
      <c r="B445" s="68"/>
    </row>
    <row r="446" spans="1:2" x14ac:dyDescent="0.2">
      <c r="A446" s="68"/>
      <c r="B446" s="68"/>
    </row>
    <row r="447" spans="1:2" x14ac:dyDescent="0.2">
      <c r="A447" s="68"/>
      <c r="B447" s="68"/>
    </row>
    <row r="448" spans="1:2" x14ac:dyDescent="0.2">
      <c r="A448" s="68"/>
      <c r="B448" s="68"/>
    </row>
    <row r="449" spans="1:2" x14ac:dyDescent="0.2">
      <c r="A449" s="68"/>
      <c r="B449" s="68"/>
    </row>
    <row r="450" spans="1:2" x14ac:dyDescent="0.2">
      <c r="A450" s="68"/>
      <c r="B450" s="68"/>
    </row>
    <row r="451" spans="1:2" x14ac:dyDescent="0.2">
      <c r="A451" s="68"/>
      <c r="B451" s="68"/>
    </row>
    <row r="452" spans="1:2" x14ac:dyDescent="0.2">
      <c r="A452" s="68"/>
      <c r="B452" s="68"/>
    </row>
    <row r="453" spans="1:2" x14ac:dyDescent="0.2">
      <c r="A453" s="68"/>
      <c r="B453" s="68"/>
    </row>
    <row r="454" spans="1:2" x14ac:dyDescent="0.2">
      <c r="A454" s="68"/>
      <c r="B454" s="68"/>
    </row>
    <row r="455" spans="1:2" x14ac:dyDescent="0.2">
      <c r="A455" s="68"/>
      <c r="B455" s="68"/>
    </row>
    <row r="456" spans="1:2" x14ac:dyDescent="0.2">
      <c r="A456" s="68"/>
      <c r="B456" s="68"/>
    </row>
    <row r="457" spans="1:2" x14ac:dyDescent="0.2">
      <c r="A457" s="68"/>
      <c r="B457" s="68"/>
    </row>
    <row r="458" spans="1:2" x14ac:dyDescent="0.2">
      <c r="A458" s="68"/>
      <c r="B458" s="68"/>
    </row>
    <row r="459" spans="1:2" x14ac:dyDescent="0.2">
      <c r="A459" s="68"/>
      <c r="B459" s="68"/>
    </row>
    <row r="460" spans="1:2" x14ac:dyDescent="0.2">
      <c r="A460" s="68"/>
      <c r="B460" s="68"/>
    </row>
    <row r="461" spans="1:2" x14ac:dyDescent="0.2">
      <c r="A461" s="68"/>
      <c r="B461" s="68"/>
    </row>
    <row r="462" spans="1:2" x14ac:dyDescent="0.2">
      <c r="A462" s="68"/>
      <c r="B462" s="68"/>
    </row>
    <row r="463" spans="1:2" x14ac:dyDescent="0.2">
      <c r="A463" s="68"/>
      <c r="B463" s="68"/>
    </row>
    <row r="464" spans="1:2" x14ac:dyDescent="0.2">
      <c r="A464" s="68"/>
      <c r="B464" s="68"/>
    </row>
    <row r="465" spans="1:2" x14ac:dyDescent="0.2">
      <c r="A465" s="68"/>
      <c r="B465" s="68"/>
    </row>
    <row r="466" spans="1:2" x14ac:dyDescent="0.2">
      <c r="A466" s="68"/>
      <c r="B466" s="68"/>
    </row>
    <row r="467" spans="1:2" x14ac:dyDescent="0.2">
      <c r="A467" s="68"/>
      <c r="B467" s="68"/>
    </row>
    <row r="468" spans="1:2" x14ac:dyDescent="0.2">
      <c r="A468" s="68"/>
      <c r="B468" s="68"/>
    </row>
    <row r="469" spans="1:2" x14ac:dyDescent="0.2">
      <c r="A469" s="68"/>
      <c r="B469" s="68"/>
    </row>
    <row r="470" spans="1:2" x14ac:dyDescent="0.2">
      <c r="A470" s="68"/>
      <c r="B470" s="68"/>
    </row>
    <row r="471" spans="1:2" x14ac:dyDescent="0.2">
      <c r="A471" s="68"/>
      <c r="B471" s="68"/>
    </row>
    <row r="472" spans="1:2" x14ac:dyDescent="0.2">
      <c r="A472" s="68"/>
      <c r="B472" s="68"/>
    </row>
    <row r="473" spans="1:2" x14ac:dyDescent="0.2">
      <c r="A473" s="68"/>
      <c r="B473" s="68"/>
    </row>
    <row r="474" spans="1:2" x14ac:dyDescent="0.2">
      <c r="A474" s="68"/>
      <c r="B474" s="68"/>
    </row>
    <row r="475" spans="1:2" x14ac:dyDescent="0.2">
      <c r="A475" s="68"/>
      <c r="B475" s="68"/>
    </row>
    <row r="476" spans="1:2" x14ac:dyDescent="0.2">
      <c r="A476" s="68"/>
      <c r="B476" s="68"/>
    </row>
    <row r="477" spans="1:2" x14ac:dyDescent="0.2">
      <c r="A477" s="68"/>
      <c r="B477" s="68"/>
    </row>
    <row r="478" spans="1:2" x14ac:dyDescent="0.2">
      <c r="A478" s="68"/>
      <c r="B478" s="68"/>
    </row>
    <row r="479" spans="1:2" x14ac:dyDescent="0.2">
      <c r="A479" s="68"/>
      <c r="B479" s="68"/>
    </row>
    <row r="480" spans="1:2" x14ac:dyDescent="0.2">
      <c r="A480" s="68"/>
      <c r="B480" s="68"/>
    </row>
    <row r="481" spans="1:2" x14ac:dyDescent="0.2">
      <c r="A481" s="68"/>
      <c r="B481" s="68"/>
    </row>
    <row r="482" spans="1:2" x14ac:dyDescent="0.2">
      <c r="A482" s="68"/>
      <c r="B482" s="68"/>
    </row>
    <row r="483" spans="1:2" x14ac:dyDescent="0.2">
      <c r="A483" s="68"/>
      <c r="B483" s="68"/>
    </row>
    <row r="484" spans="1:2" x14ac:dyDescent="0.2">
      <c r="A484" s="68"/>
      <c r="B484" s="68"/>
    </row>
    <row r="485" spans="1:2" x14ac:dyDescent="0.2">
      <c r="A485" s="68"/>
      <c r="B485" s="68"/>
    </row>
    <row r="486" spans="1:2" x14ac:dyDescent="0.2">
      <c r="A486" s="68"/>
      <c r="B486" s="68"/>
    </row>
    <row r="487" spans="1:2" x14ac:dyDescent="0.2">
      <c r="A487" s="68"/>
      <c r="B487" s="68"/>
    </row>
    <row r="488" spans="1:2" x14ac:dyDescent="0.2">
      <c r="A488" s="68"/>
      <c r="B488" s="68"/>
    </row>
    <row r="489" spans="1:2" x14ac:dyDescent="0.2">
      <c r="A489" s="68"/>
      <c r="B489" s="68"/>
    </row>
    <row r="490" spans="1:2" x14ac:dyDescent="0.2">
      <c r="A490" s="68"/>
      <c r="B490" s="68"/>
    </row>
    <row r="491" spans="1:2" x14ac:dyDescent="0.2">
      <c r="A491" s="68"/>
      <c r="B491" s="68"/>
    </row>
    <row r="492" spans="1:2" x14ac:dyDescent="0.2">
      <c r="A492" s="68"/>
      <c r="B492" s="68"/>
    </row>
    <row r="493" spans="1:2" x14ac:dyDescent="0.2">
      <c r="A493" s="68"/>
      <c r="B493" s="68"/>
    </row>
    <row r="494" spans="1:2" x14ac:dyDescent="0.2">
      <c r="A494" s="68"/>
      <c r="B494" s="68"/>
    </row>
    <row r="495" spans="1:2" x14ac:dyDescent="0.2">
      <c r="A495" s="68"/>
      <c r="B495" s="68"/>
    </row>
    <row r="496" spans="1:2" x14ac:dyDescent="0.2">
      <c r="A496" s="68"/>
      <c r="B496" s="68"/>
    </row>
    <row r="497" spans="1:2" x14ac:dyDescent="0.2">
      <c r="A497" s="68"/>
      <c r="B497" s="68"/>
    </row>
    <row r="498" spans="1:2" x14ac:dyDescent="0.2">
      <c r="A498" s="68"/>
      <c r="B498" s="68"/>
    </row>
    <row r="499" spans="1:2" x14ac:dyDescent="0.2">
      <c r="A499" s="68"/>
      <c r="B499" s="68"/>
    </row>
    <row r="500" spans="1:2" x14ac:dyDescent="0.2">
      <c r="A500" s="68"/>
      <c r="B500" s="68"/>
    </row>
    <row r="501" spans="1:2" x14ac:dyDescent="0.2">
      <c r="A501" s="68"/>
      <c r="B501" s="68"/>
    </row>
    <row r="502" spans="1:2" x14ac:dyDescent="0.2">
      <c r="A502" s="68"/>
      <c r="B502" s="68"/>
    </row>
    <row r="503" spans="1:2" x14ac:dyDescent="0.2">
      <c r="A503" s="68"/>
      <c r="B503" s="68"/>
    </row>
    <row r="504" spans="1:2" x14ac:dyDescent="0.2">
      <c r="A504" s="68"/>
      <c r="B504" s="68"/>
    </row>
    <row r="505" spans="1:2" x14ac:dyDescent="0.2">
      <c r="A505" s="68"/>
      <c r="B505" s="68"/>
    </row>
    <row r="506" spans="1:2" x14ac:dyDescent="0.2">
      <c r="A506" s="68"/>
      <c r="B506" s="68"/>
    </row>
    <row r="507" spans="1:2" x14ac:dyDescent="0.2">
      <c r="A507" s="68"/>
      <c r="B507" s="68"/>
    </row>
    <row r="508" spans="1:2" x14ac:dyDescent="0.2">
      <c r="A508" s="68"/>
      <c r="B508" s="68"/>
    </row>
    <row r="509" spans="1:2" x14ac:dyDescent="0.2">
      <c r="A509" s="68"/>
      <c r="B509" s="68"/>
    </row>
    <row r="510" spans="1:2" x14ac:dyDescent="0.2">
      <c r="A510" s="68"/>
      <c r="B510" s="68"/>
    </row>
    <row r="511" spans="1:2" x14ac:dyDescent="0.2">
      <c r="A511" s="68"/>
      <c r="B511" s="68"/>
    </row>
    <row r="512" spans="1:2" x14ac:dyDescent="0.2">
      <c r="A512" s="68"/>
      <c r="B512" s="68"/>
    </row>
    <row r="513" spans="1:2" x14ac:dyDescent="0.2">
      <c r="A513" s="68"/>
      <c r="B513" s="68"/>
    </row>
    <row r="514" spans="1:2" x14ac:dyDescent="0.2">
      <c r="A514" s="68"/>
      <c r="B514" s="68"/>
    </row>
    <row r="515" spans="1:2" x14ac:dyDescent="0.2">
      <c r="A515" s="68"/>
      <c r="B515" s="68"/>
    </row>
    <row r="516" spans="1:2" x14ac:dyDescent="0.2">
      <c r="A516" s="68"/>
      <c r="B516" s="68"/>
    </row>
    <row r="517" spans="1:2" x14ac:dyDescent="0.2">
      <c r="A517" s="68"/>
      <c r="B517" s="68"/>
    </row>
    <row r="518" spans="1:2" x14ac:dyDescent="0.2">
      <c r="A518" s="68"/>
      <c r="B518" s="68"/>
    </row>
    <row r="519" spans="1:2" x14ac:dyDescent="0.2">
      <c r="A519" s="68"/>
      <c r="B519" s="68"/>
    </row>
    <row r="520" spans="1:2" x14ac:dyDescent="0.2">
      <c r="A520" s="68"/>
      <c r="B520" s="68"/>
    </row>
    <row r="521" spans="1:2" x14ac:dyDescent="0.2">
      <c r="A521" s="68"/>
      <c r="B521" s="68"/>
    </row>
    <row r="522" spans="1:2" x14ac:dyDescent="0.2">
      <c r="A522" s="68"/>
      <c r="B522" s="68"/>
    </row>
    <row r="523" spans="1:2" x14ac:dyDescent="0.2">
      <c r="A523" s="68"/>
      <c r="B523" s="68"/>
    </row>
    <row r="524" spans="1:2" x14ac:dyDescent="0.2">
      <c r="A524" s="68"/>
      <c r="B524" s="68"/>
    </row>
    <row r="525" spans="1:2" x14ac:dyDescent="0.2">
      <c r="A525" s="68"/>
      <c r="B525" s="68"/>
    </row>
    <row r="526" spans="1:2" x14ac:dyDescent="0.2">
      <c r="A526" s="68"/>
      <c r="B526" s="68"/>
    </row>
    <row r="527" spans="1:2" x14ac:dyDescent="0.2">
      <c r="A527" s="68"/>
      <c r="B527" s="68"/>
    </row>
    <row r="528" spans="1:2" x14ac:dyDescent="0.2">
      <c r="A528" s="68"/>
      <c r="B528" s="68"/>
    </row>
    <row r="529" spans="1:2" x14ac:dyDescent="0.2">
      <c r="A529" s="68"/>
      <c r="B529" s="68"/>
    </row>
    <row r="530" spans="1:2" x14ac:dyDescent="0.2">
      <c r="A530" s="68"/>
      <c r="B530" s="68"/>
    </row>
    <row r="531" spans="1:2" x14ac:dyDescent="0.2">
      <c r="A531" s="68"/>
      <c r="B531" s="68"/>
    </row>
    <row r="532" spans="1:2" x14ac:dyDescent="0.2">
      <c r="A532" s="68"/>
      <c r="B532" s="68"/>
    </row>
    <row r="533" spans="1:2" x14ac:dyDescent="0.2">
      <c r="A533" s="68"/>
      <c r="B533" s="68"/>
    </row>
    <row r="534" spans="1:2" x14ac:dyDescent="0.2">
      <c r="A534" s="68"/>
      <c r="B534" s="68"/>
    </row>
    <row r="535" spans="1:2" x14ac:dyDescent="0.2">
      <c r="A535" s="68"/>
      <c r="B535" s="68"/>
    </row>
    <row r="536" spans="1:2" x14ac:dyDescent="0.2">
      <c r="A536" s="68"/>
      <c r="B536" s="68"/>
    </row>
    <row r="537" spans="1:2" x14ac:dyDescent="0.2">
      <c r="A537" s="68"/>
      <c r="B537" s="68"/>
    </row>
    <row r="538" spans="1:2" x14ac:dyDescent="0.2">
      <c r="A538" s="68"/>
      <c r="B538" s="68"/>
    </row>
    <row r="539" spans="1:2" x14ac:dyDescent="0.2">
      <c r="A539" s="68"/>
      <c r="B539" s="68"/>
    </row>
    <row r="540" spans="1:2" x14ac:dyDescent="0.2">
      <c r="A540" s="68"/>
      <c r="B540" s="68"/>
    </row>
    <row r="541" spans="1:2" x14ac:dyDescent="0.2">
      <c r="A541" s="68"/>
      <c r="B541" s="68"/>
    </row>
    <row r="542" spans="1:2" x14ac:dyDescent="0.2">
      <c r="A542" s="68"/>
      <c r="B542" s="68"/>
    </row>
    <row r="543" spans="1:2" x14ac:dyDescent="0.2">
      <c r="A543" s="68"/>
      <c r="B543" s="68"/>
    </row>
    <row r="544" spans="1:2" x14ac:dyDescent="0.2">
      <c r="A544" s="68"/>
      <c r="B544" s="68"/>
    </row>
    <row r="545" spans="1:2" x14ac:dyDescent="0.2">
      <c r="A545" s="68"/>
      <c r="B545" s="68"/>
    </row>
    <row r="546" spans="1:2" x14ac:dyDescent="0.2">
      <c r="A546" s="68"/>
      <c r="B546" s="68"/>
    </row>
    <row r="547" spans="1:2" x14ac:dyDescent="0.2">
      <c r="A547" s="68"/>
      <c r="B547" s="68"/>
    </row>
    <row r="548" spans="1:2" x14ac:dyDescent="0.2">
      <c r="A548" s="68"/>
      <c r="B548" s="68"/>
    </row>
    <row r="549" spans="1:2" x14ac:dyDescent="0.2">
      <c r="A549" s="68"/>
      <c r="B549" s="68"/>
    </row>
    <row r="550" spans="1:2" x14ac:dyDescent="0.2">
      <c r="A550" s="68"/>
      <c r="B550" s="68"/>
    </row>
    <row r="551" spans="1:2" x14ac:dyDescent="0.2">
      <c r="A551" s="68"/>
      <c r="B551" s="68"/>
    </row>
    <row r="552" spans="1:2" x14ac:dyDescent="0.2">
      <c r="A552" s="68"/>
      <c r="B552" s="68"/>
    </row>
    <row r="553" spans="1:2" x14ac:dyDescent="0.2">
      <c r="A553" s="68"/>
      <c r="B553" s="68"/>
    </row>
    <row r="554" spans="1:2" x14ac:dyDescent="0.2">
      <c r="A554" s="68"/>
      <c r="B554" s="68"/>
    </row>
    <row r="555" spans="1:2" x14ac:dyDescent="0.2">
      <c r="A555" s="68"/>
      <c r="B555" s="68"/>
    </row>
    <row r="556" spans="1:2" x14ac:dyDescent="0.2">
      <c r="A556" s="68"/>
      <c r="B556" s="68"/>
    </row>
    <row r="557" spans="1:2" x14ac:dyDescent="0.2">
      <c r="A557" s="68"/>
      <c r="B557" s="68"/>
    </row>
    <row r="558" spans="1:2" x14ac:dyDescent="0.2">
      <c r="A558" s="68"/>
      <c r="B558" s="68"/>
    </row>
    <row r="559" spans="1:2" x14ac:dyDescent="0.2">
      <c r="A559" s="68"/>
      <c r="B559" s="68"/>
    </row>
    <row r="560" spans="1:2" x14ac:dyDescent="0.2">
      <c r="A560" s="68"/>
      <c r="B560" s="68"/>
    </row>
    <row r="561" spans="1:2" x14ac:dyDescent="0.2">
      <c r="A561" s="68"/>
      <c r="B561" s="68"/>
    </row>
    <row r="562" spans="1:2" x14ac:dyDescent="0.2">
      <c r="A562" s="68"/>
      <c r="B562" s="68"/>
    </row>
    <row r="563" spans="1:2" x14ac:dyDescent="0.2">
      <c r="A563" s="68"/>
      <c r="B563" s="68"/>
    </row>
    <row r="564" spans="1:2" x14ac:dyDescent="0.2">
      <c r="A564" s="68"/>
      <c r="B564" s="68"/>
    </row>
    <row r="565" spans="1:2" x14ac:dyDescent="0.2">
      <c r="A565" s="68"/>
      <c r="B565" s="68"/>
    </row>
    <row r="566" spans="1:2" x14ac:dyDescent="0.2">
      <c r="A566" s="68"/>
      <c r="B566" s="68"/>
    </row>
    <row r="567" spans="1:2" x14ac:dyDescent="0.2">
      <c r="A567" s="68"/>
      <c r="B567" s="68"/>
    </row>
    <row r="568" spans="1:2" x14ac:dyDescent="0.2">
      <c r="A568" s="68"/>
      <c r="B568" s="68"/>
    </row>
    <row r="569" spans="1:2" x14ac:dyDescent="0.2">
      <c r="A569" s="68"/>
      <c r="B569" s="68"/>
    </row>
    <row r="570" spans="1:2" x14ac:dyDescent="0.2">
      <c r="A570" s="68"/>
      <c r="B570" s="68"/>
    </row>
    <row r="571" spans="1:2" x14ac:dyDescent="0.2">
      <c r="A571" s="68"/>
      <c r="B571" s="68"/>
    </row>
    <row r="572" spans="1:2" x14ac:dyDescent="0.2">
      <c r="A572" s="68"/>
      <c r="B572" s="68"/>
    </row>
    <row r="573" spans="1:2" x14ac:dyDescent="0.2">
      <c r="A573" s="68"/>
      <c r="B573" s="68"/>
    </row>
    <row r="574" spans="1:2" x14ac:dyDescent="0.2">
      <c r="A574" s="68"/>
      <c r="B574" s="68"/>
    </row>
    <row r="575" spans="1:2" x14ac:dyDescent="0.2">
      <c r="A575" s="68"/>
      <c r="B575" s="68"/>
    </row>
    <row r="576" spans="1:2" x14ac:dyDescent="0.2">
      <c r="A576" s="68"/>
      <c r="B576" s="68"/>
    </row>
    <row r="577" spans="1:2" x14ac:dyDescent="0.2">
      <c r="A577" s="68"/>
      <c r="B577" s="68"/>
    </row>
    <row r="578" spans="1:2" x14ac:dyDescent="0.2">
      <c r="A578" s="68"/>
      <c r="B578" s="68"/>
    </row>
    <row r="579" spans="1:2" x14ac:dyDescent="0.2">
      <c r="A579" s="68"/>
      <c r="B579" s="68"/>
    </row>
    <row r="580" spans="1:2" x14ac:dyDescent="0.2">
      <c r="A580" s="68"/>
      <c r="B580" s="68"/>
    </row>
    <row r="581" spans="1:2" x14ac:dyDescent="0.2">
      <c r="A581" s="68"/>
      <c r="B581" s="68"/>
    </row>
    <row r="582" spans="1:2" x14ac:dyDescent="0.2">
      <c r="A582" s="68"/>
      <c r="B582" s="68"/>
    </row>
    <row r="583" spans="1:2" x14ac:dyDescent="0.2">
      <c r="A583" s="68"/>
      <c r="B583" s="68"/>
    </row>
    <row r="584" spans="1:2" x14ac:dyDescent="0.2">
      <c r="A584" s="68"/>
      <c r="B584" s="68"/>
    </row>
    <row r="585" spans="1:2" x14ac:dyDescent="0.2">
      <c r="A585" s="68"/>
      <c r="B585" s="68"/>
    </row>
    <row r="586" spans="1:2" x14ac:dyDescent="0.2">
      <c r="A586" s="68"/>
      <c r="B586" s="68"/>
    </row>
    <row r="587" spans="1:2" x14ac:dyDescent="0.2">
      <c r="A587" s="68"/>
      <c r="B587" s="68"/>
    </row>
    <row r="588" spans="1:2" x14ac:dyDescent="0.2">
      <c r="A588" s="68"/>
      <c r="B588" s="68"/>
    </row>
    <row r="589" spans="1:2" x14ac:dyDescent="0.2">
      <c r="A589" s="68"/>
      <c r="B589" s="68"/>
    </row>
    <row r="590" spans="1:2" x14ac:dyDescent="0.2">
      <c r="A590" s="68"/>
      <c r="B590" s="68"/>
    </row>
    <row r="591" spans="1:2" x14ac:dyDescent="0.2">
      <c r="A591" s="68"/>
      <c r="B591" s="68"/>
    </row>
    <row r="592" spans="1:2" x14ac:dyDescent="0.2">
      <c r="A592" s="68"/>
      <c r="B592" s="68"/>
    </row>
    <row r="593" spans="1:2" x14ac:dyDescent="0.2">
      <c r="A593" s="68"/>
      <c r="B593" s="68"/>
    </row>
    <row r="594" spans="1:2" x14ac:dyDescent="0.2">
      <c r="A594" s="68"/>
      <c r="B594" s="68"/>
    </row>
    <row r="595" spans="1:2" x14ac:dyDescent="0.2">
      <c r="A595" s="68"/>
      <c r="B595" s="68"/>
    </row>
    <row r="596" spans="1:2" x14ac:dyDescent="0.2">
      <c r="A596" s="68"/>
      <c r="B596" s="68"/>
    </row>
    <row r="597" spans="1:2" x14ac:dyDescent="0.2">
      <c r="A597" s="68"/>
      <c r="B597" s="68"/>
    </row>
    <row r="598" spans="1:2" x14ac:dyDescent="0.2">
      <c r="A598" s="68"/>
      <c r="B598" s="68"/>
    </row>
    <row r="599" spans="1:2" x14ac:dyDescent="0.2">
      <c r="A599" s="68"/>
      <c r="B599" s="68"/>
    </row>
    <row r="600" spans="1:2" x14ac:dyDescent="0.2">
      <c r="A600" s="68"/>
      <c r="B600" s="68"/>
    </row>
    <row r="601" spans="1:2" x14ac:dyDescent="0.2">
      <c r="A601" s="68"/>
      <c r="B601" s="68"/>
    </row>
    <row r="602" spans="1:2" x14ac:dyDescent="0.2">
      <c r="A602" s="68"/>
      <c r="B602" s="68"/>
    </row>
    <row r="603" spans="1:2" x14ac:dyDescent="0.2">
      <c r="A603" s="68"/>
      <c r="B603" s="68"/>
    </row>
    <row r="604" spans="1:2" x14ac:dyDescent="0.2">
      <c r="A604" s="68"/>
      <c r="B604" s="68"/>
    </row>
    <row r="605" spans="1:2" x14ac:dyDescent="0.2">
      <c r="A605" s="68"/>
      <c r="B605" s="68"/>
    </row>
    <row r="606" spans="1:2" x14ac:dyDescent="0.2">
      <c r="A606" s="68"/>
      <c r="B606" s="68"/>
    </row>
    <row r="607" spans="1:2" x14ac:dyDescent="0.2">
      <c r="A607" s="68"/>
      <c r="B607" s="68"/>
    </row>
    <row r="608" spans="1:2" x14ac:dyDescent="0.2">
      <c r="A608" s="68"/>
      <c r="B608" s="68"/>
    </row>
    <row r="609" spans="1:2" x14ac:dyDescent="0.2">
      <c r="A609" s="68"/>
      <c r="B609" s="68"/>
    </row>
    <row r="610" spans="1:2" x14ac:dyDescent="0.2">
      <c r="A610" s="68"/>
      <c r="B610" s="68"/>
    </row>
    <row r="611" spans="1:2" x14ac:dyDescent="0.2">
      <c r="A611" s="68"/>
      <c r="B611" s="68"/>
    </row>
    <row r="612" spans="1:2" x14ac:dyDescent="0.2">
      <c r="A612" s="68"/>
      <c r="B612" s="68"/>
    </row>
    <row r="613" spans="1:2" x14ac:dyDescent="0.2">
      <c r="A613" s="68"/>
      <c r="B613" s="68"/>
    </row>
    <row r="614" spans="1:2" x14ac:dyDescent="0.2">
      <c r="A614" s="68"/>
      <c r="B614" s="68"/>
    </row>
    <row r="615" spans="1:2" x14ac:dyDescent="0.2">
      <c r="A615" s="68"/>
      <c r="B615" s="68"/>
    </row>
    <row r="616" spans="1:2" x14ac:dyDescent="0.2">
      <c r="A616" s="68"/>
      <c r="B616" s="68"/>
    </row>
    <row r="617" spans="1:2" x14ac:dyDescent="0.2">
      <c r="A617" s="68"/>
      <c r="B617" s="68"/>
    </row>
    <row r="618" spans="1:2" x14ac:dyDescent="0.2">
      <c r="A618" s="68"/>
      <c r="B618" s="68"/>
    </row>
    <row r="619" spans="1:2" x14ac:dyDescent="0.2">
      <c r="A619" s="68"/>
      <c r="B619" s="68"/>
    </row>
    <row r="620" spans="1:2" x14ac:dyDescent="0.2">
      <c r="A620" s="68"/>
      <c r="B620" s="68"/>
    </row>
    <row r="621" spans="1:2" x14ac:dyDescent="0.2">
      <c r="A621" s="68"/>
      <c r="B621" s="68"/>
    </row>
    <row r="622" spans="1:2" x14ac:dyDescent="0.2">
      <c r="A622" s="68"/>
      <c r="B622" s="68"/>
    </row>
    <row r="623" spans="1:2" x14ac:dyDescent="0.2">
      <c r="A623" s="68"/>
      <c r="B623" s="68"/>
    </row>
    <row r="624" spans="1:2" x14ac:dyDescent="0.2">
      <c r="A624" s="68"/>
      <c r="B624" s="68"/>
    </row>
    <row r="625" spans="1:2" x14ac:dyDescent="0.2">
      <c r="A625" s="68"/>
      <c r="B625" s="68"/>
    </row>
    <row r="626" spans="1:2" x14ac:dyDescent="0.2">
      <c r="A626" s="68"/>
      <c r="B626" s="68"/>
    </row>
    <row r="627" spans="1:2" x14ac:dyDescent="0.2">
      <c r="A627" s="68"/>
      <c r="B627" s="68"/>
    </row>
    <row r="628" spans="1:2" x14ac:dyDescent="0.2">
      <c r="A628" s="68"/>
      <c r="B628" s="68"/>
    </row>
    <row r="629" spans="1:2" x14ac:dyDescent="0.2">
      <c r="A629" s="68"/>
      <c r="B629" s="68"/>
    </row>
    <row r="630" spans="1:2" x14ac:dyDescent="0.2">
      <c r="A630" s="68"/>
      <c r="B630" s="68"/>
    </row>
    <row r="631" spans="1:2" x14ac:dyDescent="0.2">
      <c r="A631" s="68"/>
      <c r="B631" s="68"/>
    </row>
    <row r="632" spans="1:2" x14ac:dyDescent="0.2">
      <c r="A632" s="68"/>
      <c r="B632" s="68"/>
    </row>
    <row r="633" spans="1:2" x14ac:dyDescent="0.2">
      <c r="A633" s="68"/>
      <c r="B633" s="68"/>
    </row>
    <row r="634" spans="1:2" x14ac:dyDescent="0.2">
      <c r="A634" s="68"/>
      <c r="B634" s="68"/>
    </row>
    <row r="635" spans="1:2" x14ac:dyDescent="0.2">
      <c r="A635" s="68"/>
      <c r="B635" s="68"/>
    </row>
    <row r="636" spans="1:2" x14ac:dyDescent="0.2">
      <c r="A636" s="68"/>
      <c r="B636" s="68"/>
    </row>
    <row r="637" spans="1:2" x14ac:dyDescent="0.2">
      <c r="A637" s="68"/>
      <c r="B637" s="68"/>
    </row>
    <row r="638" spans="1:2" x14ac:dyDescent="0.2">
      <c r="A638" s="68"/>
      <c r="B638" s="68"/>
    </row>
    <row r="639" spans="1:2" x14ac:dyDescent="0.2">
      <c r="A639" s="68"/>
      <c r="B639" s="68"/>
    </row>
    <row r="640" spans="1:2" x14ac:dyDescent="0.2">
      <c r="A640" s="68"/>
      <c r="B640" s="68"/>
    </row>
    <row r="641" spans="1:2" x14ac:dyDescent="0.2">
      <c r="A641" s="68"/>
      <c r="B641" s="68"/>
    </row>
    <row r="642" spans="1:2" x14ac:dyDescent="0.2">
      <c r="A642" s="68"/>
      <c r="B642" s="68"/>
    </row>
    <row r="643" spans="1:2" x14ac:dyDescent="0.2">
      <c r="A643" s="68"/>
      <c r="B643" s="68"/>
    </row>
    <row r="644" spans="1:2" x14ac:dyDescent="0.2">
      <c r="A644" s="68"/>
      <c r="B644" s="68"/>
    </row>
    <row r="645" spans="1:2" x14ac:dyDescent="0.2">
      <c r="A645" s="68"/>
      <c r="B645" s="68"/>
    </row>
    <row r="646" spans="1:2" x14ac:dyDescent="0.2">
      <c r="A646" s="68"/>
      <c r="B646" s="68"/>
    </row>
    <row r="647" spans="1:2" x14ac:dyDescent="0.2">
      <c r="A647" s="68"/>
      <c r="B647" s="68"/>
    </row>
    <row r="648" spans="1:2" x14ac:dyDescent="0.2">
      <c r="A648" s="68"/>
      <c r="B648" s="68"/>
    </row>
    <row r="649" spans="1:2" x14ac:dyDescent="0.2">
      <c r="A649" s="68"/>
      <c r="B649" s="68"/>
    </row>
    <row r="650" spans="1:2" x14ac:dyDescent="0.2">
      <c r="A650" s="68"/>
      <c r="B650" s="68"/>
    </row>
    <row r="651" spans="1:2" x14ac:dyDescent="0.2">
      <c r="A651" s="68"/>
      <c r="B651" s="68"/>
    </row>
    <row r="652" spans="1:2" x14ac:dyDescent="0.2">
      <c r="A652" s="68"/>
      <c r="B652" s="68"/>
    </row>
    <row r="653" spans="1:2" x14ac:dyDescent="0.2">
      <c r="A653" s="68"/>
      <c r="B653" s="68"/>
    </row>
    <row r="654" spans="1:2" x14ac:dyDescent="0.2">
      <c r="A654" s="68"/>
      <c r="B654" s="68"/>
    </row>
    <row r="655" spans="1:2" x14ac:dyDescent="0.2">
      <c r="A655" s="68"/>
      <c r="B655" s="68"/>
    </row>
    <row r="656" spans="1:2" x14ac:dyDescent="0.2">
      <c r="A656" s="68"/>
      <c r="B656" s="68"/>
    </row>
    <row r="657" spans="1:2" x14ac:dyDescent="0.2">
      <c r="A657" s="68"/>
      <c r="B657" s="68"/>
    </row>
    <row r="658" spans="1:2" x14ac:dyDescent="0.2">
      <c r="A658" s="68"/>
      <c r="B658" s="68"/>
    </row>
    <row r="659" spans="1:2" x14ac:dyDescent="0.2">
      <c r="A659" s="68"/>
      <c r="B659" s="68"/>
    </row>
    <row r="660" spans="1:2" x14ac:dyDescent="0.2">
      <c r="A660" s="68"/>
      <c r="B660" s="68"/>
    </row>
    <row r="661" spans="1:2" x14ac:dyDescent="0.2">
      <c r="A661" s="68"/>
      <c r="B661" s="68"/>
    </row>
    <row r="662" spans="1:2" x14ac:dyDescent="0.2">
      <c r="A662" s="68"/>
      <c r="B662" s="68"/>
    </row>
    <row r="663" spans="1:2" x14ac:dyDescent="0.2">
      <c r="A663" s="68"/>
      <c r="B663" s="68"/>
    </row>
    <row r="664" spans="1:2" x14ac:dyDescent="0.2">
      <c r="A664" s="68"/>
      <c r="B664" s="68"/>
    </row>
    <row r="665" spans="1:2" x14ac:dyDescent="0.2">
      <c r="A665" s="68"/>
      <c r="B665" s="68"/>
    </row>
    <row r="666" spans="1:2" x14ac:dyDescent="0.2">
      <c r="A666" s="68"/>
      <c r="B666" s="68"/>
    </row>
    <row r="667" spans="1:2" x14ac:dyDescent="0.2">
      <c r="A667" s="68"/>
      <c r="B667" s="68"/>
    </row>
    <row r="668" spans="1:2" x14ac:dyDescent="0.2">
      <c r="A668" s="68"/>
      <c r="B668" s="68"/>
    </row>
    <row r="669" spans="1:2" x14ac:dyDescent="0.2">
      <c r="A669" s="68"/>
      <c r="B669" s="68"/>
    </row>
    <row r="670" spans="1:2" x14ac:dyDescent="0.2">
      <c r="A670" s="68"/>
      <c r="B670" s="68"/>
    </row>
    <row r="671" spans="1:2" x14ac:dyDescent="0.2">
      <c r="A671" s="68"/>
      <c r="B671" s="68"/>
    </row>
    <row r="672" spans="1:2" x14ac:dyDescent="0.2">
      <c r="A672" s="68"/>
      <c r="B672" s="68"/>
    </row>
    <row r="673" spans="1:2" x14ac:dyDescent="0.2">
      <c r="A673" s="68"/>
      <c r="B673" s="68"/>
    </row>
    <row r="674" spans="1:2" x14ac:dyDescent="0.2">
      <c r="A674" s="68"/>
      <c r="B674" s="68"/>
    </row>
    <row r="675" spans="1:2" x14ac:dyDescent="0.2">
      <c r="A675" s="68"/>
      <c r="B675" s="68"/>
    </row>
    <row r="676" spans="1:2" x14ac:dyDescent="0.2">
      <c r="A676" s="68"/>
      <c r="B676" s="68"/>
    </row>
    <row r="677" spans="1:2" x14ac:dyDescent="0.2">
      <c r="A677" s="68"/>
      <c r="B677" s="68"/>
    </row>
    <row r="678" spans="1:2" x14ac:dyDescent="0.2">
      <c r="A678" s="68"/>
      <c r="B678" s="68"/>
    </row>
    <row r="679" spans="1:2" x14ac:dyDescent="0.2">
      <c r="A679" s="68"/>
      <c r="B679" s="68"/>
    </row>
    <row r="680" spans="1:2" x14ac:dyDescent="0.2">
      <c r="A680" s="68"/>
      <c r="B680" s="68"/>
    </row>
    <row r="681" spans="1:2" x14ac:dyDescent="0.2">
      <c r="A681" s="68"/>
      <c r="B681" s="68"/>
    </row>
    <row r="682" spans="1:2" x14ac:dyDescent="0.2">
      <c r="A682" s="68"/>
      <c r="B682" s="68"/>
    </row>
    <row r="683" spans="1:2" x14ac:dyDescent="0.2">
      <c r="A683" s="68"/>
      <c r="B683" s="68"/>
    </row>
    <row r="684" spans="1:2" x14ac:dyDescent="0.2">
      <c r="A684" s="68"/>
      <c r="B684" s="68"/>
    </row>
    <row r="685" spans="1:2" x14ac:dyDescent="0.2">
      <c r="A685" s="68"/>
      <c r="B685" s="68"/>
    </row>
    <row r="686" spans="1:2" x14ac:dyDescent="0.2">
      <c r="A686" s="68"/>
      <c r="B686" s="68"/>
    </row>
    <row r="687" spans="1:2" x14ac:dyDescent="0.2">
      <c r="A687" s="68"/>
      <c r="B687" s="68"/>
    </row>
    <row r="688" spans="1:2" x14ac:dyDescent="0.2">
      <c r="A688" s="68"/>
      <c r="B688" s="68"/>
    </row>
    <row r="689" spans="1:2" x14ac:dyDescent="0.2">
      <c r="A689" s="68"/>
      <c r="B689" s="68"/>
    </row>
    <row r="690" spans="1:2" x14ac:dyDescent="0.2">
      <c r="A690" s="68"/>
      <c r="B690" s="68"/>
    </row>
    <row r="691" spans="1:2" x14ac:dyDescent="0.2">
      <c r="A691" s="68"/>
      <c r="B691" s="68"/>
    </row>
    <row r="692" spans="1:2" x14ac:dyDescent="0.2">
      <c r="A692" s="68"/>
      <c r="B692" s="68"/>
    </row>
    <row r="693" spans="1:2" x14ac:dyDescent="0.2">
      <c r="A693" s="68"/>
      <c r="B693" s="68"/>
    </row>
    <row r="694" spans="1:2" x14ac:dyDescent="0.2">
      <c r="A694" s="68"/>
      <c r="B694" s="68"/>
    </row>
    <row r="695" spans="1:2" x14ac:dyDescent="0.2">
      <c r="A695" s="68"/>
      <c r="B695" s="68"/>
    </row>
    <row r="696" spans="1:2" x14ac:dyDescent="0.2">
      <c r="A696" s="68"/>
      <c r="B696" s="68"/>
    </row>
    <row r="697" spans="1:2" x14ac:dyDescent="0.2">
      <c r="A697" s="68"/>
      <c r="B697" s="68"/>
    </row>
    <row r="698" spans="1:2" x14ac:dyDescent="0.2">
      <c r="A698" s="68"/>
      <c r="B698" s="68"/>
    </row>
    <row r="699" spans="1:2" x14ac:dyDescent="0.2">
      <c r="A699" s="68"/>
      <c r="B699" s="68"/>
    </row>
    <row r="700" spans="1:2" x14ac:dyDescent="0.2">
      <c r="A700" s="68"/>
      <c r="B700" s="68"/>
    </row>
    <row r="701" spans="1:2" x14ac:dyDescent="0.2">
      <c r="A701" s="68"/>
      <c r="B701" s="68"/>
    </row>
    <row r="702" spans="1:2" x14ac:dyDescent="0.2">
      <c r="A702" s="68"/>
      <c r="B702" s="68"/>
    </row>
    <row r="703" spans="1:2" x14ac:dyDescent="0.2">
      <c r="A703" s="68"/>
      <c r="B703" s="68"/>
    </row>
    <row r="704" spans="1:2" x14ac:dyDescent="0.2">
      <c r="A704" s="68"/>
      <c r="B704" s="68"/>
    </row>
    <row r="705" spans="1:2" x14ac:dyDescent="0.2">
      <c r="A705" s="68"/>
      <c r="B705" s="68"/>
    </row>
    <row r="706" spans="1:2" x14ac:dyDescent="0.2">
      <c r="A706" s="68"/>
      <c r="B706" s="68"/>
    </row>
    <row r="707" spans="1:2" x14ac:dyDescent="0.2">
      <c r="A707" s="68"/>
      <c r="B707" s="68"/>
    </row>
    <row r="708" spans="1:2" x14ac:dyDescent="0.2">
      <c r="A708" s="68"/>
      <c r="B708" s="68"/>
    </row>
    <row r="709" spans="1:2" x14ac:dyDescent="0.2">
      <c r="A709" s="68"/>
      <c r="B709" s="68"/>
    </row>
    <row r="710" spans="1:2" x14ac:dyDescent="0.2">
      <c r="A710" s="68"/>
      <c r="B710" s="68"/>
    </row>
    <row r="711" spans="1:2" x14ac:dyDescent="0.2">
      <c r="A711" s="68"/>
      <c r="B711" s="68"/>
    </row>
    <row r="712" spans="1:2" x14ac:dyDescent="0.2">
      <c r="A712" s="68"/>
      <c r="B712" s="68"/>
    </row>
    <row r="713" spans="1:2" x14ac:dyDescent="0.2">
      <c r="A713" s="68"/>
      <c r="B713" s="68"/>
    </row>
    <row r="714" spans="1:2" x14ac:dyDescent="0.2">
      <c r="A714" s="68"/>
      <c r="B714" s="68"/>
    </row>
    <row r="715" spans="1:2" x14ac:dyDescent="0.2">
      <c r="A715" s="68"/>
      <c r="B715" s="68"/>
    </row>
    <row r="716" spans="1:2" x14ac:dyDescent="0.2">
      <c r="A716" s="68"/>
      <c r="B716" s="68"/>
    </row>
    <row r="717" spans="1:2" x14ac:dyDescent="0.2">
      <c r="A717" s="68"/>
      <c r="B717" s="68"/>
    </row>
    <row r="718" spans="1:2" x14ac:dyDescent="0.2">
      <c r="A718" s="68"/>
      <c r="B718" s="68"/>
    </row>
    <row r="719" spans="1:2" x14ac:dyDescent="0.2">
      <c r="A719" s="68"/>
      <c r="B719" s="68"/>
    </row>
    <row r="720" spans="1:2" x14ac:dyDescent="0.2">
      <c r="A720" s="68"/>
      <c r="B720" s="68"/>
    </row>
    <row r="721" spans="1:2" x14ac:dyDescent="0.2">
      <c r="A721" s="68"/>
      <c r="B721" s="68"/>
    </row>
    <row r="722" spans="1:2" x14ac:dyDescent="0.2">
      <c r="A722" s="68"/>
      <c r="B722" s="68"/>
    </row>
    <row r="723" spans="1:2" x14ac:dyDescent="0.2">
      <c r="A723" s="68"/>
      <c r="B723" s="68"/>
    </row>
    <row r="724" spans="1:2" x14ac:dyDescent="0.2">
      <c r="A724" s="68"/>
      <c r="B724" s="68"/>
    </row>
    <row r="725" spans="1:2" x14ac:dyDescent="0.2">
      <c r="A725" s="68"/>
      <c r="B725" s="68"/>
    </row>
    <row r="726" spans="1:2" x14ac:dyDescent="0.2">
      <c r="A726" s="68"/>
      <c r="B726" s="68"/>
    </row>
    <row r="727" spans="1:2" x14ac:dyDescent="0.2">
      <c r="A727" s="68"/>
      <c r="B727" s="68"/>
    </row>
    <row r="728" spans="1:2" x14ac:dyDescent="0.2">
      <c r="A728" s="68"/>
      <c r="B728" s="68"/>
    </row>
    <row r="729" spans="1:2" x14ac:dyDescent="0.2">
      <c r="A729" s="68"/>
      <c r="B729" s="68"/>
    </row>
    <row r="730" spans="1:2" x14ac:dyDescent="0.2">
      <c r="A730" s="68"/>
      <c r="B730" s="68"/>
    </row>
    <row r="731" spans="1:2" x14ac:dyDescent="0.2">
      <c r="A731" s="68"/>
      <c r="B731" s="68"/>
    </row>
    <row r="732" spans="1:2" x14ac:dyDescent="0.2">
      <c r="A732" s="68"/>
      <c r="B732" s="68"/>
    </row>
    <row r="733" spans="1:2" x14ac:dyDescent="0.2">
      <c r="A733" s="68"/>
      <c r="B733" s="68"/>
    </row>
    <row r="734" spans="1:2" x14ac:dyDescent="0.2">
      <c r="A734" s="68"/>
      <c r="B734" s="68"/>
    </row>
    <row r="735" spans="1:2" x14ac:dyDescent="0.2">
      <c r="A735" s="68"/>
      <c r="B735" s="68"/>
    </row>
    <row r="736" spans="1:2" x14ac:dyDescent="0.2">
      <c r="A736" s="68"/>
      <c r="B736" s="68"/>
    </row>
    <row r="737" spans="1:2" x14ac:dyDescent="0.2">
      <c r="A737" s="68"/>
      <c r="B737" s="68"/>
    </row>
    <row r="738" spans="1:2" x14ac:dyDescent="0.2">
      <c r="A738" s="68"/>
      <c r="B738" s="68"/>
    </row>
    <row r="739" spans="1:2" x14ac:dyDescent="0.2">
      <c r="A739" s="68"/>
      <c r="B739" s="68"/>
    </row>
    <row r="740" spans="1:2" x14ac:dyDescent="0.2">
      <c r="A740" s="68"/>
      <c r="B740" s="68"/>
    </row>
    <row r="741" spans="1:2" x14ac:dyDescent="0.2">
      <c r="A741" s="68"/>
      <c r="B741" s="68"/>
    </row>
    <row r="742" spans="1:2" x14ac:dyDescent="0.2">
      <c r="A742" s="68"/>
      <c r="B742" s="68"/>
    </row>
    <row r="743" spans="1:2" x14ac:dyDescent="0.2">
      <c r="A743" s="68"/>
      <c r="B743" s="68"/>
    </row>
    <row r="744" spans="1:2" x14ac:dyDescent="0.2">
      <c r="A744" s="68"/>
      <c r="B744" s="68"/>
    </row>
    <row r="745" spans="1:2" x14ac:dyDescent="0.2">
      <c r="A745" s="68"/>
      <c r="B745" s="68"/>
    </row>
    <row r="746" spans="1:2" x14ac:dyDescent="0.2">
      <c r="A746" s="68"/>
      <c r="B746" s="68"/>
    </row>
    <row r="747" spans="1:2" x14ac:dyDescent="0.2">
      <c r="A747" s="68"/>
      <c r="B747" s="68"/>
    </row>
    <row r="748" spans="1:2" x14ac:dyDescent="0.2">
      <c r="A748" s="68"/>
      <c r="B748" s="68"/>
    </row>
    <row r="749" spans="1:2" x14ac:dyDescent="0.2">
      <c r="A749" s="68"/>
      <c r="B749" s="68"/>
    </row>
    <row r="750" spans="1:2" x14ac:dyDescent="0.2">
      <c r="A750" s="68"/>
      <c r="B750" s="68"/>
    </row>
    <row r="751" spans="1:2" x14ac:dyDescent="0.2">
      <c r="A751" s="68"/>
      <c r="B751" s="68"/>
    </row>
    <row r="752" spans="1:2" x14ac:dyDescent="0.2">
      <c r="A752" s="68"/>
      <c r="B752" s="68"/>
    </row>
    <row r="753" spans="1:2" x14ac:dyDescent="0.2">
      <c r="A753" s="68"/>
      <c r="B753" s="68"/>
    </row>
    <row r="754" spans="1:2" x14ac:dyDescent="0.2">
      <c r="A754" s="68"/>
      <c r="B754" s="68"/>
    </row>
    <row r="755" spans="1:2" x14ac:dyDescent="0.2">
      <c r="A755" s="68"/>
      <c r="B755" s="68"/>
    </row>
    <row r="756" spans="1:2" x14ac:dyDescent="0.2">
      <c r="A756" s="68"/>
      <c r="B756" s="68"/>
    </row>
    <row r="757" spans="1:2" x14ac:dyDescent="0.2">
      <c r="A757" s="68"/>
      <c r="B757" s="68"/>
    </row>
    <row r="758" spans="1:2" x14ac:dyDescent="0.2">
      <c r="A758" s="68"/>
      <c r="B758" s="68"/>
    </row>
    <row r="759" spans="1:2" x14ac:dyDescent="0.2">
      <c r="A759" s="68"/>
      <c r="B759" s="68"/>
    </row>
    <row r="760" spans="1:2" x14ac:dyDescent="0.2">
      <c r="A760" s="68"/>
      <c r="B760" s="68"/>
    </row>
    <row r="761" spans="1:2" x14ac:dyDescent="0.2">
      <c r="A761" s="68"/>
      <c r="B761" s="68"/>
    </row>
    <row r="762" spans="1:2" x14ac:dyDescent="0.2">
      <c r="A762" s="68"/>
      <c r="B762" s="68"/>
    </row>
    <row r="763" spans="1:2" x14ac:dyDescent="0.2">
      <c r="A763" s="68"/>
      <c r="B763" s="68"/>
    </row>
    <row r="764" spans="1:2" x14ac:dyDescent="0.2">
      <c r="A764" s="68"/>
      <c r="B764" s="68"/>
    </row>
    <row r="765" spans="1:2" x14ac:dyDescent="0.2">
      <c r="A765" s="68"/>
      <c r="B765" s="68"/>
    </row>
    <row r="766" spans="1:2" x14ac:dyDescent="0.2">
      <c r="A766" s="68"/>
      <c r="B766" s="68"/>
    </row>
    <row r="767" spans="1:2" x14ac:dyDescent="0.2">
      <c r="A767" s="68"/>
      <c r="B767" s="68"/>
    </row>
    <row r="768" spans="1:2" x14ac:dyDescent="0.2">
      <c r="A768" s="68"/>
      <c r="B768" s="68"/>
    </row>
    <row r="769" spans="1:2" x14ac:dyDescent="0.2">
      <c r="A769" s="68"/>
      <c r="B769" s="68"/>
    </row>
    <row r="770" spans="1:2" x14ac:dyDescent="0.2">
      <c r="A770" s="68"/>
      <c r="B770" s="68"/>
    </row>
    <row r="771" spans="1:2" x14ac:dyDescent="0.2">
      <c r="A771" s="68"/>
      <c r="B771" s="68"/>
    </row>
    <row r="772" spans="1:2" x14ac:dyDescent="0.2">
      <c r="A772" s="68"/>
      <c r="B772" s="68"/>
    </row>
    <row r="773" spans="1:2" x14ac:dyDescent="0.2">
      <c r="A773" s="68"/>
      <c r="B773" s="68"/>
    </row>
    <row r="774" spans="1:2" x14ac:dyDescent="0.2">
      <c r="A774" s="68"/>
      <c r="B774" s="68"/>
    </row>
    <row r="775" spans="1:2" x14ac:dyDescent="0.2">
      <c r="A775" s="68"/>
      <c r="B775" s="68"/>
    </row>
    <row r="776" spans="1:2" x14ac:dyDescent="0.2">
      <c r="A776" s="68"/>
      <c r="B776" s="68"/>
    </row>
    <row r="777" spans="1:2" x14ac:dyDescent="0.2">
      <c r="A777" s="68"/>
      <c r="B777" s="68"/>
    </row>
    <row r="778" spans="1:2" x14ac:dyDescent="0.2">
      <c r="A778" s="68"/>
      <c r="B778" s="68"/>
    </row>
    <row r="779" spans="1:2" x14ac:dyDescent="0.2">
      <c r="A779" s="68"/>
      <c r="B779" s="68"/>
    </row>
    <row r="780" spans="1:2" x14ac:dyDescent="0.2">
      <c r="A780" s="68"/>
      <c r="B780" s="68"/>
    </row>
    <row r="781" spans="1:2" x14ac:dyDescent="0.2">
      <c r="A781" s="68"/>
      <c r="B781" s="68"/>
    </row>
    <row r="782" spans="1:2" x14ac:dyDescent="0.2">
      <c r="A782" s="68"/>
      <c r="B782" s="68"/>
    </row>
    <row r="783" spans="1:2" x14ac:dyDescent="0.2">
      <c r="A783" s="68"/>
      <c r="B783" s="68"/>
    </row>
    <row r="784" spans="1:2" x14ac:dyDescent="0.2">
      <c r="A784" s="68"/>
      <c r="B784" s="68"/>
    </row>
    <row r="785" spans="1:2" x14ac:dyDescent="0.2">
      <c r="A785" s="68"/>
      <c r="B785" s="68"/>
    </row>
    <row r="786" spans="1:2" x14ac:dyDescent="0.2">
      <c r="A786" s="68"/>
      <c r="B786" s="68"/>
    </row>
    <row r="787" spans="1:2" x14ac:dyDescent="0.2">
      <c r="A787" s="68"/>
      <c r="B787" s="68"/>
    </row>
    <row r="788" spans="1:2" x14ac:dyDescent="0.2">
      <c r="A788" s="68"/>
      <c r="B788" s="68"/>
    </row>
    <row r="789" spans="1:2" x14ac:dyDescent="0.2">
      <c r="A789" s="68"/>
      <c r="B789" s="68"/>
    </row>
    <row r="790" spans="1:2" x14ac:dyDescent="0.2">
      <c r="A790" s="68"/>
      <c r="B790" s="68"/>
    </row>
    <row r="791" spans="1:2" x14ac:dyDescent="0.2">
      <c r="A791" s="68"/>
      <c r="B791" s="68"/>
    </row>
    <row r="792" spans="1:2" x14ac:dyDescent="0.2">
      <c r="A792" s="68"/>
      <c r="B792" s="68"/>
    </row>
    <row r="793" spans="1:2" x14ac:dyDescent="0.2">
      <c r="A793" s="68"/>
      <c r="B793" s="68"/>
    </row>
    <row r="794" spans="1:2" x14ac:dyDescent="0.2">
      <c r="A794" s="68"/>
      <c r="B794" s="68"/>
    </row>
    <row r="795" spans="1:2" x14ac:dyDescent="0.2">
      <c r="A795" s="68"/>
      <c r="B795" s="68"/>
    </row>
    <row r="796" spans="1:2" x14ac:dyDescent="0.2">
      <c r="A796" s="68"/>
      <c r="B796" s="68"/>
    </row>
    <row r="797" spans="1:2" x14ac:dyDescent="0.2">
      <c r="A797" s="68"/>
      <c r="B797" s="68"/>
    </row>
    <row r="798" spans="1:2" x14ac:dyDescent="0.2">
      <c r="A798" s="68"/>
      <c r="B798" s="68"/>
    </row>
    <row r="799" spans="1:2" x14ac:dyDescent="0.2">
      <c r="A799" s="68"/>
      <c r="B799" s="68"/>
    </row>
    <row r="800" spans="1:2" x14ac:dyDescent="0.2">
      <c r="A800" s="68"/>
      <c r="B800" s="68"/>
    </row>
    <row r="801" spans="1:2" x14ac:dyDescent="0.2">
      <c r="A801" s="68"/>
      <c r="B801" s="68"/>
    </row>
    <row r="802" spans="1:2" x14ac:dyDescent="0.2">
      <c r="A802" s="68"/>
      <c r="B802" s="68"/>
    </row>
    <row r="803" spans="1:2" x14ac:dyDescent="0.2">
      <c r="A803" s="68"/>
      <c r="B803" s="68"/>
    </row>
    <row r="804" spans="1:2" x14ac:dyDescent="0.2">
      <c r="A804" s="68"/>
      <c r="B804" s="68"/>
    </row>
    <row r="805" spans="1:2" x14ac:dyDescent="0.2">
      <c r="A805" s="68"/>
      <c r="B805" s="68"/>
    </row>
    <row r="806" spans="1:2" x14ac:dyDescent="0.2">
      <c r="A806" s="68"/>
      <c r="B806" s="68"/>
    </row>
    <row r="807" spans="1:2" x14ac:dyDescent="0.2">
      <c r="A807" s="68"/>
      <c r="B807" s="68"/>
    </row>
    <row r="808" spans="1:2" x14ac:dyDescent="0.2">
      <c r="A808" s="68"/>
      <c r="B808" s="68"/>
    </row>
    <row r="809" spans="1:2" x14ac:dyDescent="0.2">
      <c r="A809" s="68"/>
      <c r="B809" s="68"/>
    </row>
    <row r="810" spans="1:2" x14ac:dyDescent="0.2">
      <c r="A810" s="68"/>
      <c r="B810" s="68"/>
    </row>
    <row r="811" spans="1:2" x14ac:dyDescent="0.2">
      <c r="A811" s="68"/>
      <c r="B811" s="68"/>
    </row>
    <row r="812" spans="1:2" x14ac:dyDescent="0.2">
      <c r="A812" s="68"/>
      <c r="B812" s="68"/>
    </row>
    <row r="813" spans="1:2" x14ac:dyDescent="0.2">
      <c r="A813" s="68"/>
      <c r="B813" s="68"/>
    </row>
    <row r="814" spans="1:2" x14ac:dyDescent="0.2">
      <c r="A814" s="68"/>
      <c r="B814" s="68"/>
    </row>
    <row r="815" spans="1:2" x14ac:dyDescent="0.2">
      <c r="A815" s="68"/>
      <c r="B815" s="68"/>
    </row>
    <row r="816" spans="1:2" x14ac:dyDescent="0.2">
      <c r="A816" s="68"/>
      <c r="B816" s="68"/>
    </row>
    <row r="817" spans="1:2" x14ac:dyDescent="0.2">
      <c r="A817" s="68"/>
      <c r="B817" s="68"/>
    </row>
    <row r="818" spans="1:2" x14ac:dyDescent="0.2">
      <c r="A818" s="68"/>
      <c r="B818" s="68"/>
    </row>
    <row r="819" spans="1:2" x14ac:dyDescent="0.2">
      <c r="A819" s="68"/>
      <c r="B819" s="68"/>
    </row>
    <row r="820" spans="1:2" x14ac:dyDescent="0.2">
      <c r="A820" s="68"/>
      <c r="B820" s="68"/>
    </row>
    <row r="821" spans="1:2" x14ac:dyDescent="0.2">
      <c r="A821" s="68"/>
      <c r="B821" s="68"/>
    </row>
    <row r="822" spans="1:2" x14ac:dyDescent="0.2">
      <c r="A822" s="68"/>
      <c r="B822" s="68"/>
    </row>
    <row r="823" spans="1:2" x14ac:dyDescent="0.2">
      <c r="A823" s="68"/>
      <c r="B823" s="68"/>
    </row>
    <row r="824" spans="1:2" x14ac:dyDescent="0.2">
      <c r="A824" s="68"/>
      <c r="B824" s="68"/>
    </row>
    <row r="825" spans="1:2" x14ac:dyDescent="0.2">
      <c r="A825" s="68"/>
      <c r="B825" s="68"/>
    </row>
    <row r="826" spans="1:2" x14ac:dyDescent="0.2">
      <c r="A826" s="68"/>
      <c r="B826" s="68"/>
    </row>
    <row r="827" spans="1:2" x14ac:dyDescent="0.2">
      <c r="A827" s="68"/>
      <c r="B827" s="68"/>
    </row>
    <row r="828" spans="1:2" x14ac:dyDescent="0.2">
      <c r="A828" s="68"/>
      <c r="B828" s="68"/>
    </row>
    <row r="829" spans="1:2" x14ac:dyDescent="0.2">
      <c r="A829" s="68"/>
      <c r="B829" s="68"/>
    </row>
    <row r="830" spans="1:2" x14ac:dyDescent="0.2">
      <c r="A830" s="68"/>
      <c r="B830" s="68"/>
    </row>
  </sheetData>
  <autoFilter ref="A3:J103" xr:uid="{00000000-0009-0000-0000-000002000000}"/>
  <mergeCells count="3">
    <mergeCell ref="A1:J1"/>
    <mergeCell ref="A2:G2"/>
    <mergeCell ref="H2:J2"/>
  </mergeCells>
  <conditionalFormatting sqref="G104:G65536">
    <cfRule type="cellIs" dxfId="7" priority="2" operator="equal">
      <formula>"r"</formula>
    </cfRule>
    <cfRule type="cellIs" dxfId="6" priority="3" operator="equal">
      <formula>"k"</formula>
    </cfRule>
    <cfRule type="cellIs" dxfId="5" priority="4" operator="equal">
      <formula>"t"</formula>
    </cfRule>
  </conditionalFormatting>
  <conditionalFormatting sqref="I4:I103">
    <cfRule type="cellIs" dxfId="4" priority="5" operator="equal">
      <formula>"Offen"</formula>
    </cfRule>
  </conditionalFormatting>
  <dataValidations count="5">
    <dataValidation type="list" allowBlank="1" showInputMessage="1" sqref="B4:B103" xr:uid="{00000000-0002-0000-0200-000000000000}">
      <formula1>Document_abbreviations</formula1>
      <formula2>0</formula2>
    </dataValidation>
    <dataValidation type="list" allowBlank="1" showInputMessage="1" sqref="F4:F103" xr:uid="{00000000-0002-0000-0200-000001000000}">
      <formula1>Reviewer_abbreviations</formula1>
      <formula2>0</formula2>
    </dataValidation>
    <dataValidation type="list" allowBlank="1" showInputMessage="1" showErrorMessage="1" sqref="G4:G103" xr:uid="{00000000-0002-0000-0200-000002000000}">
      <formula1>"Major,minor,?,note,-"</formula1>
      <formula2>0</formula2>
    </dataValidation>
    <dataValidation type="list" allowBlank="1" showInputMessage="1" sqref="J4:J103" xr:uid="{00000000-0002-0000-0200-000003000000}">
      <formula1>"Meeting,3. Stunde,Follow-Up,Protokoll,diskutieren,erneut diskutieren,neu,geändert,&lt;Name&gt;,&lt;Datum&gt;,&lt;Prio 1&gt;,&lt;freier Text&gt;"</formula1>
      <formula2>0</formula2>
    </dataValidation>
    <dataValidation type="list" allowBlank="1" showInputMessage="1" showErrorMessage="1" sqref="I4:I103" xr:uid="{00000000-0002-0000-0200-000004000000}">
      <formula1>"Offen,Gelöst,Abgelehnt,Zurückgestellt,Doppelt"</formula1>
      <formula2>0</formula2>
    </dataValidation>
  </dataValidations>
  <pageMargins left="0.78749999999999998" right="0.78749999999999998" top="0.98402777777777795" bottom="0.98402777777777795" header="0.51180555555555596" footer="0.51180555555555596"/>
  <pageSetup paperSize="9" orientation="portrait" horizontalDpi="300" verticalDpi="300"/>
  <headerFooter>
    <oddHeader>&amp;Rgedruckt am &amp;D</oddHeader>
    <oddFooter>&amp;L&amp;F&amp;R&amp;P von &amp;N</oddFooter>
  </headerFooter>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27"/>
  <sheetViews>
    <sheetView showGridLines="0" zoomScaleNormal="100" workbookViewId="0">
      <selection activeCell="B11" sqref="B11"/>
    </sheetView>
  </sheetViews>
  <sheetFormatPr baseColWidth="10" defaultColWidth="11.42578125" defaultRowHeight="12.75" x14ac:dyDescent="0.2"/>
  <cols>
    <col min="1" max="1" width="29.7109375" style="4" customWidth="1"/>
    <col min="2" max="2" width="62" style="4" customWidth="1"/>
    <col min="3" max="16384" width="11.42578125" style="4"/>
  </cols>
  <sheetData>
    <row r="1" spans="1:5" ht="24.75" customHeight="1" x14ac:dyDescent="0.2"/>
    <row r="2" spans="1:5" ht="27.75" customHeight="1" x14ac:dyDescent="0.35">
      <c r="A2" s="5" t="s">
        <v>252</v>
      </c>
      <c r="B2" s="69"/>
    </row>
    <row r="3" spans="1:5" s="40" customFormat="1" ht="14.25" x14ac:dyDescent="0.2">
      <c r="A3" s="35" t="s">
        <v>253</v>
      </c>
      <c r="B3" s="70">
        <v>45986</v>
      </c>
    </row>
    <row r="4" spans="1:5" s="34" customFormat="1" ht="14.25" x14ac:dyDescent="0.2">
      <c r="A4" s="35" t="s">
        <v>70</v>
      </c>
      <c r="B4" s="71" t="str">
        <f>IF(ISBLANK(MP!B4),"",MP!B4)</f>
        <v>studyconnect Gruppe 4</v>
      </c>
      <c r="D4" s="4"/>
      <c r="E4" s="55"/>
    </row>
    <row r="5" spans="1:5" s="34" customFormat="1" ht="14.25" x14ac:dyDescent="0.2">
      <c r="A5" s="35" t="s">
        <v>73</v>
      </c>
      <c r="B5" s="71" t="str">
        <f>IF(ISBLANK(MP!B7),"",MP!B7)</f>
        <v>Hashmatulla Habibi</v>
      </c>
    </row>
    <row r="6" spans="1:5" s="40" customFormat="1" ht="16.5" customHeight="1" x14ac:dyDescent="0.2">
      <c r="A6" s="38" t="s">
        <v>254</v>
      </c>
      <c r="B6" s="72"/>
    </row>
    <row r="7" spans="1:5" s="34" customFormat="1" ht="14.25" x14ac:dyDescent="0.2">
      <c r="A7" s="35" t="s">
        <v>77</v>
      </c>
      <c r="B7" s="71" t="str">
        <f>IF(ISBLANK(MP!B10),"",MP!B10)</f>
        <v>backend/*.java</v>
      </c>
    </row>
    <row r="8" spans="1:5" s="34" customFormat="1" ht="14.25" x14ac:dyDescent="0.2">
      <c r="A8" s="35" t="s">
        <v>78</v>
      </c>
      <c r="B8" s="71" t="str">
        <f>IF(ISBLANK(MP!B11),"",MP!B11)</f>
        <v>docs/*.md</v>
      </c>
    </row>
    <row r="9" spans="1:5" s="34" customFormat="1" ht="14.25" x14ac:dyDescent="0.2">
      <c r="A9" s="35" t="s">
        <v>79</v>
      </c>
      <c r="B9" s="71" t="str">
        <f>IF(ISBLANK(MP!B12),"",MP!B12)</f>
        <v>docker-compose.yml, pom.xml</v>
      </c>
    </row>
    <row r="10" spans="1:5" s="40" customFormat="1" ht="14.25" x14ac:dyDescent="0.2">
      <c r="A10" s="44" t="s">
        <v>255</v>
      </c>
      <c r="B10" s="73"/>
    </row>
    <row r="11" spans="1:5" s="40" customFormat="1" ht="28.5" x14ac:dyDescent="0.2">
      <c r="A11" s="35" t="s">
        <v>256</v>
      </c>
      <c r="B11" s="1"/>
    </row>
    <row r="12" spans="1:5" s="40" customFormat="1" ht="14.25" x14ac:dyDescent="0.2">
      <c r="A12" s="35" t="s">
        <v>257</v>
      </c>
      <c r="B12" s="74"/>
    </row>
    <row r="13" spans="1:5" s="40" customFormat="1" ht="14.25" x14ac:dyDescent="0.2">
      <c r="A13" s="35" t="s">
        <v>258</v>
      </c>
      <c r="B13" s="1"/>
    </row>
    <row r="14" spans="1:5" s="40" customFormat="1" ht="28.5" x14ac:dyDescent="0.2">
      <c r="A14" s="44" t="s">
        <v>82</v>
      </c>
      <c r="B14" s="45" t="s">
        <v>259</v>
      </c>
      <c r="C14" s="34"/>
    </row>
    <row r="15" spans="1:5" s="40" customFormat="1" ht="14.25" x14ac:dyDescent="0.2">
      <c r="A15" s="35" t="s">
        <v>77</v>
      </c>
      <c r="B15" s="71" t="str">
        <f>IF(ISBLANK(MP!B21),"",MP!B21)</f>
        <v>Tom Karaqi</v>
      </c>
    </row>
    <row r="16" spans="1:5" s="40" customFormat="1" ht="14.25" x14ac:dyDescent="0.2">
      <c r="A16" s="35" t="s">
        <v>78</v>
      </c>
      <c r="B16" s="71" t="str">
        <f>IF(ISBLANK(MP!B22),"",MP!B22)</f>
        <v>Laurent Siwaily</v>
      </c>
    </row>
    <row r="17" spans="1:2" s="40" customFormat="1" ht="14.25" x14ac:dyDescent="0.2">
      <c r="A17" s="35" t="s">
        <v>79</v>
      </c>
      <c r="B17" s="71" t="str">
        <f>IF(ISBLANK(MP!B23),"",MP!B23)</f>
        <v>Marius</v>
      </c>
    </row>
    <row r="18" spans="1:2" s="40" customFormat="1" ht="14.25" x14ac:dyDescent="0.2">
      <c r="A18" s="35" t="s">
        <v>84</v>
      </c>
      <c r="B18" s="71" t="str">
        <f>IF(ISBLANK(MP!B24),"",MP!B24)</f>
        <v>Linus</v>
      </c>
    </row>
    <row r="19" spans="1:2" s="40" customFormat="1" ht="14.25" x14ac:dyDescent="0.2">
      <c r="A19" s="35" t="s">
        <v>85</v>
      </c>
      <c r="B19" s="71" t="str">
        <f>IF(ISBLANK(MP!B25),"",MP!B25)</f>
        <v>Hashmatulla Habibi</v>
      </c>
    </row>
    <row r="20" spans="1:2" s="40" customFormat="1" ht="14.25" x14ac:dyDescent="0.2">
      <c r="A20" s="35" t="s">
        <v>86</v>
      </c>
      <c r="B20" s="71" t="str">
        <f>IF(ISBLANK(MP!B26),"",MP!B26)</f>
        <v/>
      </c>
    </row>
    <row r="21" spans="1:2" s="40" customFormat="1" ht="14.25" x14ac:dyDescent="0.2">
      <c r="A21" s="35" t="s">
        <v>87</v>
      </c>
      <c r="B21" s="71" t="str">
        <f>IF(ISBLANK(MP!B27),"",MP!B27)</f>
        <v/>
      </c>
    </row>
    <row r="22" spans="1:2" s="40" customFormat="1" ht="14.25" x14ac:dyDescent="0.2">
      <c r="A22" s="35" t="s">
        <v>88</v>
      </c>
      <c r="B22" s="71" t="str">
        <f>IF(ISBLANK(MP!B28),"",MP!B28)</f>
        <v/>
      </c>
    </row>
    <row r="23" spans="1:2" s="40" customFormat="1" ht="14.25" x14ac:dyDescent="0.2">
      <c r="A23" s="35" t="s">
        <v>89</v>
      </c>
      <c r="B23" s="71" t="str">
        <f>IF(ISBLANK(MP!B29),"",MP!B29)</f>
        <v/>
      </c>
    </row>
    <row r="24" spans="1:2" s="40" customFormat="1" ht="14.25" x14ac:dyDescent="0.2">
      <c r="A24" s="35" t="s">
        <v>90</v>
      </c>
      <c r="B24" s="71" t="str">
        <f>IF(ISBLANK(MP!B30),"",MP!B30)</f>
        <v/>
      </c>
    </row>
    <row r="25" spans="1:2" s="40" customFormat="1" ht="16.5" customHeight="1" x14ac:dyDescent="0.2">
      <c r="A25" s="38" t="s">
        <v>260</v>
      </c>
      <c r="B25" s="72"/>
    </row>
    <row r="26" spans="1:2" ht="57" customHeight="1" x14ac:dyDescent="0.2">
      <c r="A26" s="92"/>
      <c r="B26" s="92"/>
    </row>
    <row r="27" spans="1:2" ht="13.5" customHeight="1" x14ac:dyDescent="0.2"/>
  </sheetData>
  <mergeCells count="1">
    <mergeCell ref="A26:B26"/>
  </mergeCells>
  <dataValidations count="3">
    <dataValidation type="list" allowBlank="1" showInputMessage="1" sqref="B11" xr:uid="{00000000-0002-0000-0300-000000000000}">
      <formula1>"Reviewsitzungsteam,Moderator,&lt;Name oder Rolle&gt;,"</formula1>
      <formula2>0</formula2>
    </dataValidation>
    <dataValidation type="list" allowBlank="1" showInputMessage="1" sqref="B12" xr:uid="{00000000-0002-0000-0300-000001000000}">
      <formula1>"'- keinen -,Moderator,&lt;Name&gt;,alle Reviewer (jeweils die eigenen Befunde),"</formula1>
      <formula2>0</formula2>
    </dataValidation>
    <dataValidation type="list" allowBlank="1" showInputMessage="1" sqref="B13" xr:uid="{00000000-0002-0000-0300-000002000000}">
      <formula1>"Nein,Ja,&lt;freier Text&gt;"</formula1>
      <formula2>0</formula2>
    </dataValidation>
  </dataValidations>
  <pageMargins left="0.78749999999999998" right="0.78749999999999998" top="0.98402777777777795" bottom="0.98402777777777795" header="0.51180555555555596" footer="0.51180555555555596"/>
  <pageSetup paperSize="9" orientation="portrait" horizontalDpi="300" verticalDpi="300"/>
  <headerFooter>
    <oddHeader>&amp;Rgedruckt am &amp;D</oddHeader>
    <oddFooter>&amp;L&amp;F&amp;R&amp;P von &amp;N</oddFooter>
  </headerFooter>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L831"/>
  <sheetViews>
    <sheetView showGridLines="0" zoomScaleNormal="100" workbookViewId="0">
      <pane ySplit="2" topLeftCell="A141" activePane="bottomLeft" state="frozen"/>
      <selection pane="bottomLeft" activeCell="B142" sqref="B142"/>
    </sheetView>
  </sheetViews>
  <sheetFormatPr baseColWidth="10" defaultColWidth="11.42578125" defaultRowHeight="15" x14ac:dyDescent="0.2"/>
  <cols>
    <col min="1" max="1" width="8.140625" style="55" customWidth="1"/>
    <col min="2" max="2" width="8.42578125" style="55" customWidth="1"/>
    <col min="3" max="3" width="12.140625" style="56" customWidth="1"/>
    <col min="4" max="4" width="56.85546875" style="57" customWidth="1"/>
    <col min="5" max="5" width="10" style="58" customWidth="1"/>
    <col min="6" max="6" width="8.42578125" style="57" customWidth="1"/>
    <col min="7" max="7" width="6.5703125" style="59" customWidth="1"/>
    <col min="8" max="8" width="28.42578125" style="58" customWidth="1"/>
    <col min="9" max="9" width="9.5703125" style="58" customWidth="1"/>
    <col min="10" max="10" width="10" style="58" customWidth="1"/>
    <col min="11" max="16384" width="11.42578125" style="58"/>
  </cols>
  <sheetData>
    <row r="1" spans="1:10" s="4" customFormat="1" ht="24.75" customHeight="1" x14ac:dyDescent="0.2">
      <c r="A1" s="98" t="s">
        <v>261</v>
      </c>
      <c r="B1" s="98"/>
      <c r="C1" s="98"/>
      <c r="D1" s="98"/>
      <c r="E1" s="98"/>
      <c r="F1" s="98"/>
      <c r="G1" s="98"/>
      <c r="H1" s="98"/>
      <c r="I1" s="98"/>
      <c r="J1" s="98"/>
    </row>
    <row r="2" spans="1:10" s="63" customFormat="1" ht="45" customHeight="1" x14ac:dyDescent="0.2">
      <c r="A2" s="75" t="s">
        <v>102</v>
      </c>
      <c r="B2" s="76" t="s">
        <v>103</v>
      </c>
      <c r="C2" s="76" t="s">
        <v>262</v>
      </c>
      <c r="D2" s="77" t="s">
        <v>263</v>
      </c>
      <c r="E2" s="77" t="s">
        <v>264</v>
      </c>
      <c r="F2" s="77" t="s">
        <v>265</v>
      </c>
      <c r="G2" s="77" t="s">
        <v>266</v>
      </c>
      <c r="H2" s="77" t="s">
        <v>267</v>
      </c>
      <c r="I2" s="77" t="s">
        <v>109</v>
      </c>
      <c r="J2" s="77" t="s">
        <v>268</v>
      </c>
    </row>
    <row r="3" spans="1:10" s="66" customFormat="1" ht="12.75" x14ac:dyDescent="0.2">
      <c r="A3" s="11" t="s">
        <v>111</v>
      </c>
      <c r="B3" s="11" t="s">
        <v>269</v>
      </c>
      <c r="C3" s="11" t="s">
        <v>270</v>
      </c>
      <c r="D3" s="13" t="s">
        <v>271</v>
      </c>
      <c r="E3" s="3"/>
      <c r="F3" s="78" t="s">
        <v>272</v>
      </c>
      <c r="G3" s="2"/>
      <c r="H3" s="3" t="s">
        <v>273</v>
      </c>
      <c r="I3" s="2" t="s">
        <v>274</v>
      </c>
      <c r="J3" s="65"/>
    </row>
    <row r="4" spans="1:10" s="66" customFormat="1" ht="25.5" x14ac:dyDescent="0.2">
      <c r="A4" s="11" t="s">
        <v>117</v>
      </c>
      <c r="B4" s="11" t="s">
        <v>269</v>
      </c>
      <c r="C4" s="11"/>
      <c r="D4" s="13" t="s">
        <v>275</v>
      </c>
      <c r="E4" s="3"/>
      <c r="F4" s="78" t="s">
        <v>272</v>
      </c>
      <c r="G4" s="2"/>
      <c r="H4" s="3" t="s">
        <v>276</v>
      </c>
      <c r="I4" s="2" t="s">
        <v>277</v>
      </c>
      <c r="J4" s="65"/>
    </row>
    <row r="5" spans="1:10" s="66" customFormat="1" ht="25.5" x14ac:dyDescent="0.2">
      <c r="A5" s="11" t="s">
        <v>122</v>
      </c>
      <c r="B5" s="11" t="s">
        <v>278</v>
      </c>
      <c r="C5" s="11"/>
      <c r="D5" s="13" t="s">
        <v>279</v>
      </c>
      <c r="E5" s="3"/>
      <c r="F5" s="78" t="s">
        <v>272</v>
      </c>
      <c r="G5" s="2"/>
      <c r="H5" s="3"/>
      <c r="I5" s="2" t="s">
        <v>277</v>
      </c>
      <c r="J5" s="65"/>
    </row>
    <row r="6" spans="1:10" s="66" customFormat="1" ht="12.75" x14ac:dyDescent="0.2">
      <c r="A6" s="11" t="s">
        <v>127</v>
      </c>
      <c r="B6" s="11" t="s">
        <v>278</v>
      </c>
      <c r="C6" s="11"/>
      <c r="D6" s="13" t="s">
        <v>280</v>
      </c>
      <c r="E6" s="3"/>
      <c r="F6" s="78" t="s">
        <v>272</v>
      </c>
      <c r="G6" s="2"/>
      <c r="H6" s="3" t="s">
        <v>281</v>
      </c>
      <c r="I6" s="2" t="s">
        <v>274</v>
      </c>
      <c r="J6" s="65"/>
    </row>
    <row r="7" spans="1:10" s="66" customFormat="1" ht="76.5" x14ac:dyDescent="0.2">
      <c r="A7" s="11" t="s">
        <v>130</v>
      </c>
      <c r="B7" s="11" t="s">
        <v>282</v>
      </c>
      <c r="C7" s="11"/>
      <c r="D7" s="13" t="s">
        <v>283</v>
      </c>
      <c r="E7" s="3"/>
      <c r="F7" s="78" t="s">
        <v>272</v>
      </c>
      <c r="G7" s="2"/>
      <c r="H7" s="3" t="s">
        <v>284</v>
      </c>
      <c r="I7" s="2" t="s">
        <v>285</v>
      </c>
      <c r="J7" s="65"/>
    </row>
    <row r="8" spans="1:10" s="66" customFormat="1" ht="25.5" x14ac:dyDescent="0.2">
      <c r="A8" s="11" t="s">
        <v>133</v>
      </c>
      <c r="B8" s="11" t="s">
        <v>286</v>
      </c>
      <c r="C8" s="11"/>
      <c r="D8" s="13" t="s">
        <v>287</v>
      </c>
      <c r="E8" s="3"/>
      <c r="F8" s="78" t="s">
        <v>272</v>
      </c>
      <c r="G8" s="2"/>
      <c r="H8" s="3"/>
      <c r="I8" s="2" t="s">
        <v>274</v>
      </c>
      <c r="J8" s="65"/>
    </row>
    <row r="9" spans="1:10" s="66" customFormat="1" ht="63.75" x14ac:dyDescent="0.2">
      <c r="A9" s="11" t="s">
        <v>137</v>
      </c>
      <c r="B9" s="11" t="s">
        <v>288</v>
      </c>
      <c r="C9" s="11"/>
      <c r="D9" s="13" t="s">
        <v>289</v>
      </c>
      <c r="E9" s="3"/>
      <c r="F9" s="78" t="s">
        <v>272</v>
      </c>
      <c r="G9" s="2"/>
      <c r="H9" s="3" t="s">
        <v>290</v>
      </c>
      <c r="I9" s="2" t="s">
        <v>274</v>
      </c>
      <c r="J9" s="65"/>
    </row>
    <row r="10" spans="1:10" s="66" customFormat="1" ht="38.25" x14ac:dyDescent="0.2">
      <c r="A10" s="11" t="s">
        <v>140</v>
      </c>
      <c r="B10" s="11" t="s">
        <v>278</v>
      </c>
      <c r="C10" s="11"/>
      <c r="D10" s="13" t="s">
        <v>291</v>
      </c>
      <c r="E10" s="3"/>
      <c r="F10" s="78" t="s">
        <v>272</v>
      </c>
      <c r="G10" s="2"/>
      <c r="H10" s="3" t="s">
        <v>292</v>
      </c>
      <c r="I10" s="2" t="s">
        <v>274</v>
      </c>
      <c r="J10" s="65"/>
    </row>
    <row r="11" spans="1:10" s="66" customFormat="1" ht="25.5" x14ac:dyDescent="0.2">
      <c r="A11" s="11" t="s">
        <v>142</v>
      </c>
      <c r="B11" s="11" t="s">
        <v>286</v>
      </c>
      <c r="C11" s="11"/>
      <c r="D11" s="13" t="s">
        <v>293</v>
      </c>
      <c r="E11" s="3"/>
      <c r="F11" s="78" t="s">
        <v>272</v>
      </c>
      <c r="G11" s="2"/>
      <c r="H11" s="3" t="s">
        <v>294</v>
      </c>
      <c r="I11" s="2" t="s">
        <v>285</v>
      </c>
      <c r="J11" s="65"/>
    </row>
    <row r="12" spans="1:10" s="66" customFormat="1" ht="12.75" x14ac:dyDescent="0.2">
      <c r="A12" s="11" t="s">
        <v>145</v>
      </c>
      <c r="B12" s="11" t="s">
        <v>286</v>
      </c>
      <c r="C12" s="11"/>
      <c r="D12" s="13" t="s">
        <v>295</v>
      </c>
      <c r="E12" s="3"/>
      <c r="F12" s="78" t="s">
        <v>272</v>
      </c>
      <c r="G12" s="2"/>
      <c r="H12" s="3"/>
      <c r="I12" s="2" t="s">
        <v>274</v>
      </c>
      <c r="J12" s="65"/>
    </row>
    <row r="13" spans="1:10" s="66" customFormat="1" ht="38.25" x14ac:dyDescent="0.2">
      <c r="A13" s="11" t="s">
        <v>149</v>
      </c>
      <c r="B13" s="11" t="s">
        <v>296</v>
      </c>
      <c r="C13" s="11"/>
      <c r="D13" s="13" t="s">
        <v>297</v>
      </c>
      <c r="E13" s="3"/>
      <c r="F13" s="78" t="s">
        <v>272</v>
      </c>
      <c r="G13" s="2"/>
      <c r="H13" s="3" t="s">
        <v>298</v>
      </c>
      <c r="I13" s="2" t="s">
        <v>285</v>
      </c>
      <c r="J13" s="65"/>
    </row>
    <row r="14" spans="1:10" s="66" customFormat="1" ht="25.5" x14ac:dyDescent="0.2">
      <c r="A14" s="11" t="s">
        <v>152</v>
      </c>
      <c r="B14" s="11" t="s">
        <v>278</v>
      </c>
      <c r="C14" s="11"/>
      <c r="D14" s="13" t="s">
        <v>299</v>
      </c>
      <c r="E14" s="3"/>
      <c r="F14" s="78" t="s">
        <v>272</v>
      </c>
      <c r="G14" s="2"/>
      <c r="H14" s="3"/>
      <c r="I14" s="2" t="s">
        <v>285</v>
      </c>
      <c r="J14" s="65"/>
    </row>
    <row r="15" spans="1:10" s="66" customFormat="1" ht="51" x14ac:dyDescent="0.2">
      <c r="A15" s="11" t="s">
        <v>155</v>
      </c>
      <c r="B15" s="11" t="s">
        <v>269</v>
      </c>
      <c r="C15" s="11"/>
      <c r="D15" s="13" t="s">
        <v>300</v>
      </c>
      <c r="E15" s="3"/>
      <c r="F15" s="78" t="s">
        <v>272</v>
      </c>
      <c r="G15" s="2"/>
      <c r="H15" s="3" t="s">
        <v>301</v>
      </c>
      <c r="I15" s="2" t="s">
        <v>274</v>
      </c>
      <c r="J15" s="65"/>
    </row>
    <row r="16" spans="1:10" s="66" customFormat="1" ht="38.25" x14ac:dyDescent="0.2">
      <c r="A16" s="11" t="s">
        <v>158</v>
      </c>
      <c r="B16" s="11" t="s">
        <v>302</v>
      </c>
      <c r="C16" s="11"/>
      <c r="D16" s="13" t="s">
        <v>303</v>
      </c>
      <c r="E16" s="3"/>
      <c r="F16" s="78" t="s">
        <v>272</v>
      </c>
      <c r="G16" s="2"/>
      <c r="H16" s="3" t="s">
        <v>304</v>
      </c>
      <c r="I16" s="2" t="s">
        <v>305</v>
      </c>
      <c r="J16" s="65"/>
    </row>
    <row r="17" spans="1:10" s="66" customFormat="1" ht="38.25" x14ac:dyDescent="0.2">
      <c r="A17" s="11" t="s">
        <v>161</v>
      </c>
      <c r="B17" s="11" t="s">
        <v>296</v>
      </c>
      <c r="C17" s="11"/>
      <c r="D17" s="13" t="s">
        <v>306</v>
      </c>
      <c r="E17" s="3"/>
      <c r="F17" s="78" t="s">
        <v>272</v>
      </c>
      <c r="G17" s="2"/>
      <c r="H17" s="3" t="s">
        <v>307</v>
      </c>
      <c r="I17" s="2" t="s">
        <v>285</v>
      </c>
      <c r="J17" s="65"/>
    </row>
    <row r="18" spans="1:10" s="66" customFormat="1" ht="25.5" x14ac:dyDescent="0.2">
      <c r="A18" s="11" t="s">
        <v>164</v>
      </c>
      <c r="B18" s="11" t="s">
        <v>308</v>
      </c>
      <c r="C18" s="11"/>
      <c r="D18" s="13" t="s">
        <v>309</v>
      </c>
      <c r="E18" s="3"/>
      <c r="F18" s="78" t="s">
        <v>272</v>
      </c>
      <c r="G18" s="2"/>
      <c r="H18" s="3" t="s">
        <v>310</v>
      </c>
      <c r="I18" s="2" t="s">
        <v>274</v>
      </c>
      <c r="J18" s="65"/>
    </row>
    <row r="19" spans="1:10" s="66" customFormat="1" ht="25.5" x14ac:dyDescent="0.2">
      <c r="A19" s="11" t="s">
        <v>168</v>
      </c>
      <c r="B19" s="11" t="s">
        <v>278</v>
      </c>
      <c r="C19" s="11" t="s">
        <v>311</v>
      </c>
      <c r="D19" s="13" t="s">
        <v>312</v>
      </c>
      <c r="E19" s="3"/>
      <c r="F19" s="78" t="s">
        <v>272</v>
      </c>
      <c r="G19" s="2"/>
      <c r="H19" s="3"/>
      <c r="I19" s="2" t="s">
        <v>277</v>
      </c>
      <c r="J19" s="65"/>
    </row>
    <row r="20" spans="1:10" s="66" customFormat="1" ht="12.75" x14ac:dyDescent="0.2">
      <c r="A20" s="11" t="s">
        <v>169</v>
      </c>
      <c r="B20" s="11" t="s">
        <v>269</v>
      </c>
      <c r="C20" s="11"/>
      <c r="D20" s="13" t="s">
        <v>313</v>
      </c>
      <c r="E20" s="3"/>
      <c r="F20" s="78" t="s">
        <v>272</v>
      </c>
      <c r="G20" s="2"/>
      <c r="H20" s="3" t="s">
        <v>314</v>
      </c>
      <c r="I20" s="2" t="s">
        <v>274</v>
      </c>
      <c r="J20" s="65"/>
    </row>
    <row r="21" spans="1:10" s="66" customFormat="1" ht="38.25" x14ac:dyDescent="0.2">
      <c r="A21" s="11" t="s">
        <v>170</v>
      </c>
      <c r="B21" s="11" t="s">
        <v>278</v>
      </c>
      <c r="C21" s="11" t="s">
        <v>315</v>
      </c>
      <c r="D21" s="13" t="s">
        <v>316</v>
      </c>
      <c r="E21" s="3"/>
      <c r="F21" s="78" t="s">
        <v>272</v>
      </c>
      <c r="G21" s="2"/>
      <c r="H21" s="3" t="s">
        <v>317</v>
      </c>
      <c r="I21" s="2" t="s">
        <v>305</v>
      </c>
      <c r="J21" s="65"/>
    </row>
    <row r="22" spans="1:10" s="66" customFormat="1" ht="25.5" x14ac:dyDescent="0.2">
      <c r="A22" s="11" t="s">
        <v>171</v>
      </c>
      <c r="B22" s="11" t="s">
        <v>302</v>
      </c>
      <c r="C22" s="11"/>
      <c r="D22" s="13" t="s">
        <v>318</v>
      </c>
      <c r="E22" s="3"/>
      <c r="F22" s="78" t="s">
        <v>319</v>
      </c>
      <c r="G22" s="2"/>
      <c r="H22" s="3" t="s">
        <v>320</v>
      </c>
      <c r="I22" s="2" t="s">
        <v>285</v>
      </c>
      <c r="J22" s="65"/>
    </row>
    <row r="23" spans="1:10" s="66" customFormat="1" ht="165.75" x14ac:dyDescent="0.2">
      <c r="A23" s="11" t="s">
        <v>172</v>
      </c>
      <c r="B23" s="11" t="s">
        <v>296</v>
      </c>
      <c r="C23" s="11"/>
      <c r="D23" s="13" t="s">
        <v>321</v>
      </c>
      <c r="E23" s="3"/>
      <c r="F23" s="78" t="s">
        <v>319</v>
      </c>
      <c r="G23" s="2"/>
      <c r="H23" s="3" t="s">
        <v>322</v>
      </c>
      <c r="I23" s="2" t="s">
        <v>274</v>
      </c>
      <c r="J23" s="65"/>
    </row>
    <row r="24" spans="1:10" s="66" customFormat="1" ht="51" x14ac:dyDescent="0.2">
      <c r="A24" s="11" t="s">
        <v>173</v>
      </c>
      <c r="B24" s="11" t="s">
        <v>269</v>
      </c>
      <c r="C24" s="11"/>
      <c r="D24" s="13" t="s">
        <v>323</v>
      </c>
      <c r="E24" s="3"/>
      <c r="F24" s="78" t="s">
        <v>319</v>
      </c>
      <c r="G24" s="2"/>
      <c r="H24" s="3" t="s">
        <v>324</v>
      </c>
      <c r="I24" s="2" t="s">
        <v>274</v>
      </c>
      <c r="J24" s="65"/>
    </row>
    <row r="25" spans="1:10" s="66" customFormat="1" ht="51" x14ac:dyDescent="0.2">
      <c r="A25" s="11" t="s">
        <v>174</v>
      </c>
      <c r="B25" s="11" t="s">
        <v>269</v>
      </c>
      <c r="C25" s="11"/>
      <c r="D25" s="13" t="s">
        <v>325</v>
      </c>
      <c r="E25" s="3"/>
      <c r="F25" s="78" t="s">
        <v>319</v>
      </c>
      <c r="G25" s="2"/>
      <c r="H25" s="3" t="s">
        <v>326</v>
      </c>
      <c r="I25" s="2" t="s">
        <v>274</v>
      </c>
      <c r="J25" s="65"/>
    </row>
    <row r="26" spans="1:10" s="66" customFormat="1" ht="76.5" x14ac:dyDescent="0.2">
      <c r="A26" s="11" t="s">
        <v>175</v>
      </c>
      <c r="B26" s="11" t="s">
        <v>269</v>
      </c>
      <c r="C26" s="11"/>
      <c r="D26" s="13" t="s">
        <v>327</v>
      </c>
      <c r="E26" s="3"/>
      <c r="F26" s="78" t="s">
        <v>319</v>
      </c>
      <c r="G26" s="2"/>
      <c r="H26" s="3" t="s">
        <v>328</v>
      </c>
      <c r="I26" s="2" t="s">
        <v>274</v>
      </c>
      <c r="J26" s="65"/>
    </row>
    <row r="27" spans="1:10" s="66" customFormat="1" ht="38.25" x14ac:dyDescent="0.2">
      <c r="A27" s="11" t="s">
        <v>176</v>
      </c>
      <c r="B27" s="11" t="s">
        <v>269</v>
      </c>
      <c r="C27" s="11"/>
      <c r="D27" s="13" t="s">
        <v>329</v>
      </c>
      <c r="E27" s="3"/>
      <c r="F27" s="78" t="s">
        <v>319</v>
      </c>
      <c r="G27" s="2"/>
      <c r="H27" s="3" t="s">
        <v>330</v>
      </c>
      <c r="I27" s="2" t="s">
        <v>274</v>
      </c>
      <c r="J27" s="65"/>
    </row>
    <row r="28" spans="1:10" s="66" customFormat="1" ht="22.5" x14ac:dyDescent="0.2">
      <c r="A28" s="11" t="s">
        <v>177</v>
      </c>
      <c r="B28" s="11" t="s">
        <v>269</v>
      </c>
      <c r="C28" s="11"/>
      <c r="D28" s="13" t="s">
        <v>331</v>
      </c>
      <c r="E28" s="3"/>
      <c r="F28" s="78" t="s">
        <v>319</v>
      </c>
      <c r="G28" s="2"/>
      <c r="H28" s="3" t="s">
        <v>320</v>
      </c>
      <c r="I28" s="2" t="s">
        <v>285</v>
      </c>
      <c r="J28" s="65"/>
    </row>
    <row r="29" spans="1:10" s="66" customFormat="1" ht="38.25" x14ac:dyDescent="0.2">
      <c r="A29" s="11" t="s">
        <v>178</v>
      </c>
      <c r="B29" s="11" t="s">
        <v>269</v>
      </c>
      <c r="C29" s="11"/>
      <c r="D29" s="13" t="s">
        <v>332</v>
      </c>
      <c r="E29" s="3"/>
      <c r="F29" s="78" t="s">
        <v>319</v>
      </c>
      <c r="G29" s="2"/>
      <c r="H29" s="3" t="s">
        <v>333</v>
      </c>
      <c r="I29" s="2" t="s">
        <v>274</v>
      </c>
      <c r="J29" s="65"/>
    </row>
    <row r="30" spans="1:10" s="66" customFormat="1" ht="22.5" x14ac:dyDescent="0.2">
      <c r="A30" s="11" t="s">
        <v>179</v>
      </c>
      <c r="B30" s="11" t="s">
        <v>269</v>
      </c>
      <c r="C30" s="11"/>
      <c r="D30" s="13" t="s">
        <v>334</v>
      </c>
      <c r="E30" s="3"/>
      <c r="F30" s="78" t="s">
        <v>319</v>
      </c>
      <c r="G30" s="2"/>
      <c r="H30" s="3" t="s">
        <v>320</v>
      </c>
      <c r="I30" s="2" t="s">
        <v>274</v>
      </c>
      <c r="J30" s="65"/>
    </row>
    <row r="31" spans="1:10" s="66" customFormat="1" ht="22.5" x14ac:dyDescent="0.2">
      <c r="A31" s="11" t="s">
        <v>180</v>
      </c>
      <c r="B31" s="11" t="s">
        <v>335</v>
      </c>
      <c r="C31" s="11" t="s">
        <v>336</v>
      </c>
      <c r="D31" s="13" t="s">
        <v>337</v>
      </c>
      <c r="E31" s="3"/>
      <c r="F31" s="78" t="s">
        <v>319</v>
      </c>
      <c r="G31" s="2"/>
      <c r="H31" s="3"/>
      <c r="I31" s="2" t="s">
        <v>285</v>
      </c>
      <c r="J31" s="65"/>
    </row>
    <row r="32" spans="1:10" s="66" customFormat="1" ht="38.25" x14ac:dyDescent="0.2">
      <c r="A32" s="11" t="s">
        <v>181</v>
      </c>
      <c r="B32" s="11" t="s">
        <v>335</v>
      </c>
      <c r="C32" s="11"/>
      <c r="D32" s="13" t="s">
        <v>338</v>
      </c>
      <c r="E32" s="3"/>
      <c r="F32" s="78" t="s">
        <v>319</v>
      </c>
      <c r="G32" s="2"/>
      <c r="H32" s="3" t="s">
        <v>339</v>
      </c>
      <c r="I32" s="2" t="s">
        <v>285</v>
      </c>
      <c r="J32" s="65"/>
    </row>
    <row r="33" spans="1:10" s="66" customFormat="1" ht="51" x14ac:dyDescent="0.2">
      <c r="A33" s="11" t="s">
        <v>182</v>
      </c>
      <c r="B33" s="11" t="s">
        <v>278</v>
      </c>
      <c r="C33" s="11" t="s">
        <v>340</v>
      </c>
      <c r="D33" s="13" t="s">
        <v>341</v>
      </c>
      <c r="E33" s="3"/>
      <c r="F33" s="78" t="s">
        <v>319</v>
      </c>
      <c r="G33" s="2"/>
      <c r="H33" s="3" t="s">
        <v>342</v>
      </c>
      <c r="I33" s="2" t="s">
        <v>274</v>
      </c>
      <c r="J33" s="65"/>
    </row>
    <row r="34" spans="1:10" s="66" customFormat="1" ht="22.5" x14ac:dyDescent="0.2">
      <c r="A34" s="11" t="s">
        <v>183</v>
      </c>
      <c r="B34" s="11" t="s">
        <v>335</v>
      </c>
      <c r="C34" s="11"/>
      <c r="D34" s="13" t="s">
        <v>343</v>
      </c>
      <c r="E34" s="3"/>
      <c r="F34" s="78" t="s">
        <v>319</v>
      </c>
      <c r="G34" s="2"/>
      <c r="H34" s="3" t="s">
        <v>344</v>
      </c>
      <c r="I34" s="2" t="s">
        <v>285</v>
      </c>
      <c r="J34" s="65"/>
    </row>
    <row r="35" spans="1:10" s="66" customFormat="1" ht="114.75" x14ac:dyDescent="0.2">
      <c r="A35" s="11" t="s">
        <v>184</v>
      </c>
      <c r="B35" s="11" t="s">
        <v>286</v>
      </c>
      <c r="C35" s="11" t="s">
        <v>345</v>
      </c>
      <c r="D35" s="13" t="s">
        <v>346</v>
      </c>
      <c r="E35" s="3"/>
      <c r="F35" s="78" t="s">
        <v>319</v>
      </c>
      <c r="G35" s="2"/>
      <c r="H35" s="3" t="s">
        <v>347</v>
      </c>
      <c r="I35" s="2" t="s">
        <v>305</v>
      </c>
      <c r="J35" s="65"/>
    </row>
    <row r="36" spans="1:10" s="66" customFormat="1" ht="63.75" x14ac:dyDescent="0.2">
      <c r="A36" s="11" t="s">
        <v>185</v>
      </c>
      <c r="B36" s="11" t="s">
        <v>286</v>
      </c>
      <c r="C36" s="11" t="s">
        <v>348</v>
      </c>
      <c r="D36" s="13" t="s">
        <v>349</v>
      </c>
      <c r="E36" s="3"/>
      <c r="F36" s="78" t="s">
        <v>319</v>
      </c>
      <c r="G36" s="2"/>
      <c r="H36" s="3" t="s">
        <v>350</v>
      </c>
      <c r="I36" s="2" t="s">
        <v>274</v>
      </c>
      <c r="J36" s="65"/>
    </row>
    <row r="37" spans="1:10" s="66" customFormat="1" ht="76.5" x14ac:dyDescent="0.2">
      <c r="A37" s="11" t="s">
        <v>186</v>
      </c>
      <c r="B37" s="11" t="s">
        <v>286</v>
      </c>
      <c r="C37" s="11" t="s">
        <v>351</v>
      </c>
      <c r="D37" s="13" t="s">
        <v>352</v>
      </c>
      <c r="E37" s="3"/>
      <c r="F37" s="78" t="s">
        <v>319</v>
      </c>
      <c r="G37" s="2"/>
      <c r="H37" s="3" t="s">
        <v>353</v>
      </c>
      <c r="I37" s="2" t="s">
        <v>285</v>
      </c>
      <c r="J37" s="65"/>
    </row>
    <row r="38" spans="1:10" s="66" customFormat="1" ht="38.25" x14ac:dyDescent="0.2">
      <c r="A38" s="11" t="s">
        <v>187</v>
      </c>
      <c r="B38" s="11" t="s">
        <v>354</v>
      </c>
      <c r="C38" s="11"/>
      <c r="D38" s="13" t="s">
        <v>355</v>
      </c>
      <c r="E38" s="3"/>
      <c r="F38" s="78" t="s">
        <v>319</v>
      </c>
      <c r="G38" s="2"/>
      <c r="H38" s="3" t="s">
        <v>356</v>
      </c>
      <c r="I38" s="2" t="s">
        <v>277</v>
      </c>
      <c r="J38" s="65"/>
    </row>
    <row r="39" spans="1:10" s="66" customFormat="1" ht="22.5" x14ac:dyDescent="0.2">
      <c r="A39" s="11" t="s">
        <v>188</v>
      </c>
      <c r="B39" s="11" t="s">
        <v>286</v>
      </c>
      <c r="C39" s="11" t="s">
        <v>357</v>
      </c>
      <c r="D39" s="13" t="s">
        <v>358</v>
      </c>
      <c r="E39" s="3"/>
      <c r="F39" s="78" t="s">
        <v>319</v>
      </c>
      <c r="G39" s="2"/>
      <c r="H39" s="3"/>
      <c r="I39" s="2" t="s">
        <v>285</v>
      </c>
      <c r="J39" s="65"/>
    </row>
    <row r="40" spans="1:10" s="66" customFormat="1" ht="127.5" x14ac:dyDescent="0.2">
      <c r="A40" s="11" t="s">
        <v>189</v>
      </c>
      <c r="B40" s="11" t="s">
        <v>286</v>
      </c>
      <c r="C40" s="11" t="s">
        <v>359</v>
      </c>
      <c r="D40" s="13" t="s">
        <v>360</v>
      </c>
      <c r="E40" s="3"/>
      <c r="F40" s="78" t="s">
        <v>319</v>
      </c>
      <c r="G40" s="2"/>
      <c r="H40" s="3" t="s">
        <v>361</v>
      </c>
      <c r="I40" s="2" t="s">
        <v>285</v>
      </c>
      <c r="J40" s="65"/>
    </row>
    <row r="41" spans="1:10" s="66" customFormat="1" ht="51" x14ac:dyDescent="0.2">
      <c r="A41" s="11" t="s">
        <v>190</v>
      </c>
      <c r="B41" s="11" t="s">
        <v>286</v>
      </c>
      <c r="C41" s="11" t="s">
        <v>357</v>
      </c>
      <c r="D41" s="13" t="s">
        <v>362</v>
      </c>
      <c r="E41" s="3"/>
      <c r="F41" s="78" t="s">
        <v>319</v>
      </c>
      <c r="G41" s="2"/>
      <c r="H41" s="3" t="s">
        <v>363</v>
      </c>
      <c r="I41" s="2" t="s">
        <v>274</v>
      </c>
      <c r="J41" s="65"/>
    </row>
    <row r="42" spans="1:10" s="66" customFormat="1" ht="38.25" x14ac:dyDescent="0.2">
      <c r="A42" s="11" t="s">
        <v>191</v>
      </c>
      <c r="B42" s="11" t="s">
        <v>286</v>
      </c>
      <c r="C42" s="11" t="s">
        <v>364</v>
      </c>
      <c r="D42" s="13" t="s">
        <v>365</v>
      </c>
      <c r="E42" s="3"/>
      <c r="F42" s="78" t="s">
        <v>319</v>
      </c>
      <c r="G42" s="2"/>
      <c r="H42" s="3" t="s">
        <v>366</v>
      </c>
      <c r="I42" s="2" t="s">
        <v>274</v>
      </c>
      <c r="J42" s="65"/>
    </row>
    <row r="43" spans="1:10" s="66" customFormat="1" ht="102" x14ac:dyDescent="0.2">
      <c r="A43" s="11" t="s">
        <v>192</v>
      </c>
      <c r="B43" s="11" t="s">
        <v>286</v>
      </c>
      <c r="C43" s="11" t="s">
        <v>367</v>
      </c>
      <c r="D43" s="13" t="s">
        <v>368</v>
      </c>
      <c r="E43" s="3"/>
      <c r="F43" s="78" t="s">
        <v>319</v>
      </c>
      <c r="G43" s="2"/>
      <c r="H43" s="3" t="s">
        <v>369</v>
      </c>
      <c r="I43" s="2" t="s">
        <v>285</v>
      </c>
      <c r="J43" s="65"/>
    </row>
    <row r="44" spans="1:10" s="66" customFormat="1" ht="12.75" x14ac:dyDescent="0.2">
      <c r="A44" s="11" t="s">
        <v>193</v>
      </c>
      <c r="B44" s="11" t="s">
        <v>370</v>
      </c>
      <c r="C44" s="11"/>
      <c r="D44" s="13" t="s">
        <v>371</v>
      </c>
      <c r="E44" s="3"/>
      <c r="F44" s="78" t="s">
        <v>372</v>
      </c>
      <c r="G44" s="2"/>
      <c r="H44" s="3"/>
      <c r="I44" s="2" t="s">
        <v>285</v>
      </c>
      <c r="J44" s="65"/>
    </row>
    <row r="45" spans="1:10" s="66" customFormat="1" ht="12.75" x14ac:dyDescent="0.2">
      <c r="A45" s="11" t="s">
        <v>194</v>
      </c>
      <c r="B45" s="11" t="s">
        <v>278</v>
      </c>
      <c r="C45" s="11" t="s">
        <v>373</v>
      </c>
      <c r="D45" s="13" t="s">
        <v>374</v>
      </c>
      <c r="E45" s="3"/>
      <c r="F45" s="78" t="s">
        <v>372</v>
      </c>
      <c r="G45" s="2"/>
      <c r="H45" s="3"/>
      <c r="I45" s="2" t="s">
        <v>285</v>
      </c>
      <c r="J45" s="65"/>
    </row>
    <row r="46" spans="1:10" s="66" customFormat="1" ht="12.75" x14ac:dyDescent="0.2">
      <c r="A46" s="11" t="s">
        <v>195</v>
      </c>
      <c r="B46" s="11" t="s">
        <v>286</v>
      </c>
      <c r="C46" s="11" t="s">
        <v>375</v>
      </c>
      <c r="D46" s="13" t="s">
        <v>376</v>
      </c>
      <c r="E46" s="3"/>
      <c r="F46" s="78" t="s">
        <v>372</v>
      </c>
      <c r="G46" s="2"/>
      <c r="H46" s="3"/>
      <c r="I46" s="2" t="s">
        <v>285</v>
      </c>
      <c r="J46" s="65"/>
    </row>
    <row r="47" spans="1:10" s="66" customFormat="1" ht="12.75" x14ac:dyDescent="0.2">
      <c r="A47" s="11" t="s">
        <v>196</v>
      </c>
      <c r="B47" s="11" t="s">
        <v>286</v>
      </c>
      <c r="C47" s="11" t="s">
        <v>377</v>
      </c>
      <c r="D47" s="13" t="s">
        <v>378</v>
      </c>
      <c r="E47" s="3"/>
      <c r="F47" s="78" t="s">
        <v>372</v>
      </c>
      <c r="G47" s="2"/>
      <c r="H47" s="3"/>
      <c r="I47" s="2" t="s">
        <v>285</v>
      </c>
      <c r="J47" s="65"/>
    </row>
    <row r="48" spans="1:10" s="66" customFormat="1" ht="12.75" x14ac:dyDescent="0.2">
      <c r="A48" s="11" t="s">
        <v>197</v>
      </c>
      <c r="B48" s="11" t="s">
        <v>286</v>
      </c>
      <c r="C48" s="11"/>
      <c r="D48" s="13" t="s">
        <v>379</v>
      </c>
      <c r="E48" s="3"/>
      <c r="F48" s="78" t="s">
        <v>372</v>
      </c>
      <c r="G48" s="2"/>
      <c r="H48" s="3"/>
      <c r="I48" s="2" t="s">
        <v>285</v>
      </c>
      <c r="J48" s="65"/>
    </row>
    <row r="49" spans="1:10" s="66" customFormat="1" ht="102" x14ac:dyDescent="0.2">
      <c r="A49" s="11" t="s">
        <v>198</v>
      </c>
      <c r="B49" s="11" t="s">
        <v>380</v>
      </c>
      <c r="C49" s="11" t="s">
        <v>381</v>
      </c>
      <c r="D49" s="13" t="s">
        <v>382</v>
      </c>
      <c r="E49" s="3"/>
      <c r="F49" s="78" t="s">
        <v>272</v>
      </c>
      <c r="G49" s="2"/>
      <c r="H49" s="3" t="s">
        <v>383</v>
      </c>
      <c r="I49" s="2" t="s">
        <v>274</v>
      </c>
      <c r="J49" s="65"/>
    </row>
    <row r="50" spans="1:10" s="66" customFormat="1" ht="25.5" x14ac:dyDescent="0.2">
      <c r="A50" s="11" t="s">
        <v>199</v>
      </c>
      <c r="B50" s="11" t="s">
        <v>296</v>
      </c>
      <c r="C50" s="11"/>
      <c r="D50" s="13" t="s">
        <v>384</v>
      </c>
      <c r="E50" s="3"/>
      <c r="F50" s="78" t="s">
        <v>272</v>
      </c>
      <c r="G50" s="2"/>
      <c r="H50" s="3"/>
      <c r="I50" s="2" t="s">
        <v>285</v>
      </c>
      <c r="J50" s="65"/>
    </row>
    <row r="51" spans="1:10" s="66" customFormat="1" ht="51" x14ac:dyDescent="0.2">
      <c r="A51" s="11" t="s">
        <v>200</v>
      </c>
      <c r="B51" s="11" t="s">
        <v>269</v>
      </c>
      <c r="C51" s="11"/>
      <c r="D51" s="13" t="s">
        <v>385</v>
      </c>
      <c r="E51" s="3"/>
      <c r="F51" s="78" t="s">
        <v>272</v>
      </c>
      <c r="G51" s="2"/>
      <c r="H51" s="3" t="s">
        <v>386</v>
      </c>
      <c r="I51" s="2" t="s">
        <v>274</v>
      </c>
      <c r="J51" s="65"/>
    </row>
    <row r="52" spans="1:10" s="66" customFormat="1" ht="25.5" x14ac:dyDescent="0.2">
      <c r="A52" s="11" t="s">
        <v>201</v>
      </c>
      <c r="B52" s="11" t="s">
        <v>286</v>
      </c>
      <c r="C52" s="11"/>
      <c r="D52" s="13" t="s">
        <v>387</v>
      </c>
      <c r="E52" s="3"/>
      <c r="F52" s="78" t="s">
        <v>272</v>
      </c>
      <c r="G52" s="2"/>
      <c r="H52" s="3"/>
      <c r="I52" s="2" t="s">
        <v>285</v>
      </c>
      <c r="J52" s="65"/>
    </row>
    <row r="53" spans="1:10" s="66" customFormat="1" ht="89.25" x14ac:dyDescent="0.2">
      <c r="A53" s="11" t="s">
        <v>202</v>
      </c>
      <c r="B53" s="11" t="s">
        <v>302</v>
      </c>
      <c r="C53" s="11"/>
      <c r="D53" s="13" t="s">
        <v>388</v>
      </c>
      <c r="E53" s="3"/>
      <c r="F53" s="78" t="s">
        <v>272</v>
      </c>
      <c r="G53" s="2"/>
      <c r="H53" s="3" t="s">
        <v>389</v>
      </c>
      <c r="I53" s="2" t="s">
        <v>285</v>
      </c>
      <c r="J53" s="65"/>
    </row>
    <row r="54" spans="1:10" s="66" customFormat="1" ht="25.5" x14ac:dyDescent="0.2">
      <c r="A54" s="11" t="s">
        <v>203</v>
      </c>
      <c r="B54" s="11" t="s">
        <v>302</v>
      </c>
      <c r="C54" s="11" t="s">
        <v>390</v>
      </c>
      <c r="D54" s="13" t="s">
        <v>391</v>
      </c>
      <c r="E54" s="3"/>
      <c r="F54" s="78" t="s">
        <v>272</v>
      </c>
      <c r="G54" s="2"/>
      <c r="H54" s="3"/>
      <c r="I54" s="2" t="s">
        <v>285</v>
      </c>
      <c r="J54" s="65"/>
    </row>
    <row r="55" spans="1:10" s="66" customFormat="1" ht="25.5" x14ac:dyDescent="0.2">
      <c r="A55" s="11" t="s">
        <v>204</v>
      </c>
      <c r="B55" s="11" t="s">
        <v>286</v>
      </c>
      <c r="C55" s="11" t="s">
        <v>392</v>
      </c>
      <c r="D55" s="13" t="s">
        <v>393</v>
      </c>
      <c r="E55" s="3"/>
      <c r="F55" s="78" t="s">
        <v>272</v>
      </c>
      <c r="G55" s="2"/>
      <c r="H55" s="3"/>
      <c r="I55" s="2" t="s">
        <v>285</v>
      </c>
      <c r="J55" s="65"/>
    </row>
    <row r="56" spans="1:10" s="66" customFormat="1" ht="12.75" x14ac:dyDescent="0.2">
      <c r="A56" s="11" t="s">
        <v>205</v>
      </c>
      <c r="B56" s="11" t="s">
        <v>286</v>
      </c>
      <c r="C56" s="11" t="s">
        <v>394</v>
      </c>
      <c r="D56" s="13" t="s">
        <v>395</v>
      </c>
      <c r="E56" s="3"/>
      <c r="F56" s="78" t="s">
        <v>272</v>
      </c>
      <c r="G56" s="2"/>
      <c r="H56" s="3" t="s">
        <v>396</v>
      </c>
      <c r="I56" s="2" t="s">
        <v>285</v>
      </c>
      <c r="J56" s="65"/>
    </row>
    <row r="57" spans="1:10" s="66" customFormat="1" ht="25.5" x14ac:dyDescent="0.2">
      <c r="A57" s="11" t="s">
        <v>206</v>
      </c>
      <c r="B57" s="11" t="s">
        <v>278</v>
      </c>
      <c r="C57" s="11" t="s">
        <v>397</v>
      </c>
      <c r="D57" s="13" t="s">
        <v>398</v>
      </c>
      <c r="E57" s="3"/>
      <c r="F57" s="78" t="s">
        <v>272</v>
      </c>
      <c r="G57" s="2"/>
      <c r="H57" s="3" t="s">
        <v>399</v>
      </c>
      <c r="I57" s="2" t="s">
        <v>285</v>
      </c>
      <c r="J57" s="65"/>
    </row>
    <row r="58" spans="1:10" s="66" customFormat="1" ht="25.5" x14ac:dyDescent="0.2">
      <c r="A58" s="11" t="s">
        <v>207</v>
      </c>
      <c r="B58" s="11" t="s">
        <v>302</v>
      </c>
      <c r="C58" s="11"/>
      <c r="D58" s="13" t="s">
        <v>400</v>
      </c>
      <c r="E58" s="3"/>
      <c r="F58" s="78" t="s">
        <v>272</v>
      </c>
      <c r="G58" s="2"/>
      <c r="H58" s="3"/>
      <c r="I58" s="2" t="s">
        <v>285</v>
      </c>
      <c r="J58" s="65"/>
    </row>
    <row r="59" spans="1:10" s="66" customFormat="1" ht="25.5" x14ac:dyDescent="0.2">
      <c r="A59" s="11" t="s">
        <v>208</v>
      </c>
      <c r="B59" s="11" t="s">
        <v>269</v>
      </c>
      <c r="C59" s="11"/>
      <c r="D59" s="13" t="s">
        <v>401</v>
      </c>
      <c r="E59" s="3"/>
      <c r="F59" s="78" t="s">
        <v>272</v>
      </c>
      <c r="G59" s="2"/>
      <c r="H59" s="3" t="s">
        <v>402</v>
      </c>
      <c r="I59" s="2" t="s">
        <v>285</v>
      </c>
      <c r="J59" s="65"/>
    </row>
    <row r="60" spans="1:10" s="66" customFormat="1" ht="76.5" x14ac:dyDescent="0.2">
      <c r="A60" s="11" t="s">
        <v>209</v>
      </c>
      <c r="B60" s="11" t="s">
        <v>269</v>
      </c>
      <c r="C60" s="11"/>
      <c r="D60" s="13" t="s">
        <v>403</v>
      </c>
      <c r="E60" s="3"/>
      <c r="F60" s="78" t="s">
        <v>272</v>
      </c>
      <c r="G60" s="2"/>
      <c r="H60" s="3" t="s">
        <v>404</v>
      </c>
      <c r="I60" s="2" t="s">
        <v>285</v>
      </c>
      <c r="J60" s="65"/>
    </row>
    <row r="61" spans="1:10" s="66" customFormat="1" ht="51" x14ac:dyDescent="0.2">
      <c r="A61" s="11" t="s">
        <v>210</v>
      </c>
      <c r="B61" s="11" t="s">
        <v>302</v>
      </c>
      <c r="C61" s="11"/>
      <c r="D61" s="13" t="s">
        <v>405</v>
      </c>
      <c r="E61" s="3"/>
      <c r="F61" s="78" t="s">
        <v>272</v>
      </c>
      <c r="G61" s="2"/>
      <c r="H61" s="3" t="s">
        <v>406</v>
      </c>
      <c r="I61" s="2" t="s">
        <v>285</v>
      </c>
      <c r="J61" s="65"/>
    </row>
    <row r="62" spans="1:10" s="66" customFormat="1" ht="25.5" x14ac:dyDescent="0.2">
      <c r="A62" s="11" t="s">
        <v>211</v>
      </c>
      <c r="B62" s="11" t="s">
        <v>296</v>
      </c>
      <c r="C62" s="11"/>
      <c r="D62" s="13" t="s">
        <v>407</v>
      </c>
      <c r="E62" s="3"/>
      <c r="F62" s="78" t="s">
        <v>272</v>
      </c>
      <c r="G62" s="2"/>
      <c r="H62" s="3" t="s">
        <v>408</v>
      </c>
      <c r="I62" s="2" t="s">
        <v>285</v>
      </c>
      <c r="J62" s="65"/>
    </row>
    <row r="63" spans="1:10" s="66" customFormat="1" ht="204" x14ac:dyDescent="0.2">
      <c r="A63" s="11" t="s">
        <v>212</v>
      </c>
      <c r="B63" s="11" t="s">
        <v>409</v>
      </c>
      <c r="C63" s="11"/>
      <c r="D63" s="13" t="s">
        <v>410</v>
      </c>
      <c r="E63" s="3"/>
      <c r="F63" s="78" t="s">
        <v>272</v>
      </c>
      <c r="G63" s="2"/>
      <c r="H63" s="3" t="s">
        <v>411</v>
      </c>
      <c r="I63" s="2" t="s">
        <v>285</v>
      </c>
      <c r="J63" s="65"/>
    </row>
    <row r="64" spans="1:10" s="66" customFormat="1" ht="395.25" x14ac:dyDescent="0.2">
      <c r="A64" s="11" t="s">
        <v>213</v>
      </c>
      <c r="B64" s="11" t="s">
        <v>269</v>
      </c>
      <c r="C64" s="11" t="s">
        <v>412</v>
      </c>
      <c r="D64" s="13" t="s">
        <v>413</v>
      </c>
      <c r="E64" s="3"/>
      <c r="F64" s="78" t="s">
        <v>272</v>
      </c>
      <c r="G64" s="2"/>
      <c r="H64" s="3" t="s">
        <v>414</v>
      </c>
      <c r="I64" s="2" t="s">
        <v>285</v>
      </c>
      <c r="J64" s="65"/>
    </row>
    <row r="65" spans="1:10" s="66" customFormat="1" ht="25.5" x14ac:dyDescent="0.2">
      <c r="A65" s="11" t="s">
        <v>214</v>
      </c>
      <c r="B65" s="11" t="s">
        <v>286</v>
      </c>
      <c r="C65" s="11"/>
      <c r="D65" s="13" t="s">
        <v>415</v>
      </c>
      <c r="E65" s="3"/>
      <c r="F65" s="78" t="s">
        <v>272</v>
      </c>
      <c r="G65" s="2"/>
      <c r="H65" s="3" t="s">
        <v>416</v>
      </c>
      <c r="I65" s="2" t="s">
        <v>274</v>
      </c>
      <c r="J65" s="65"/>
    </row>
    <row r="66" spans="1:10" s="66" customFormat="1" ht="12.75" x14ac:dyDescent="0.2">
      <c r="A66" s="11" t="s">
        <v>215</v>
      </c>
      <c r="B66" s="11" t="s">
        <v>286</v>
      </c>
      <c r="C66" s="11" t="s">
        <v>417</v>
      </c>
      <c r="D66" s="13" t="s">
        <v>418</v>
      </c>
      <c r="E66" s="3"/>
      <c r="F66" s="78" t="s">
        <v>272</v>
      </c>
      <c r="G66" s="2"/>
      <c r="H66" s="3"/>
      <c r="I66" s="2" t="s">
        <v>285</v>
      </c>
      <c r="J66" s="65"/>
    </row>
    <row r="67" spans="1:10" s="66" customFormat="1" ht="25.5" x14ac:dyDescent="0.2">
      <c r="A67" s="11" t="s">
        <v>216</v>
      </c>
      <c r="B67" s="11" t="s">
        <v>302</v>
      </c>
      <c r="C67" s="11" t="s">
        <v>419</v>
      </c>
      <c r="D67" s="13" t="s">
        <v>420</v>
      </c>
      <c r="E67" s="3"/>
      <c r="F67" s="78" t="s">
        <v>421</v>
      </c>
      <c r="G67" s="2"/>
      <c r="H67" s="3"/>
      <c r="I67" s="2" t="s">
        <v>285</v>
      </c>
      <c r="J67" s="65"/>
    </row>
    <row r="68" spans="1:10" s="66" customFormat="1" ht="25.5" x14ac:dyDescent="0.2">
      <c r="A68" s="11" t="s">
        <v>217</v>
      </c>
      <c r="B68" s="11" t="s">
        <v>422</v>
      </c>
      <c r="C68" s="11" t="s">
        <v>423</v>
      </c>
      <c r="D68" s="13" t="s">
        <v>424</v>
      </c>
      <c r="E68" s="3"/>
      <c r="F68" s="78" t="s">
        <v>272</v>
      </c>
      <c r="G68" s="2"/>
      <c r="H68" s="3"/>
      <c r="I68" s="2" t="s">
        <v>285</v>
      </c>
      <c r="J68" s="65"/>
    </row>
    <row r="69" spans="1:10" s="66" customFormat="1" ht="25.5" x14ac:dyDescent="0.2">
      <c r="A69" s="11" t="s">
        <v>218</v>
      </c>
      <c r="B69" s="11" t="s">
        <v>422</v>
      </c>
      <c r="C69" s="11" t="s">
        <v>425</v>
      </c>
      <c r="D69" s="13" t="s">
        <v>426</v>
      </c>
      <c r="E69" s="3"/>
      <c r="F69" s="78" t="s">
        <v>272</v>
      </c>
      <c r="G69" s="2"/>
      <c r="H69" s="3"/>
      <c r="I69" s="2" t="s">
        <v>285</v>
      </c>
      <c r="J69" s="65"/>
    </row>
    <row r="70" spans="1:10" s="66" customFormat="1" ht="25.5" x14ac:dyDescent="0.2">
      <c r="A70" s="11" t="s">
        <v>219</v>
      </c>
      <c r="B70" s="11" t="s">
        <v>422</v>
      </c>
      <c r="C70" s="11" t="s">
        <v>427</v>
      </c>
      <c r="D70" s="13" t="s">
        <v>428</v>
      </c>
      <c r="E70" s="3"/>
      <c r="F70" s="78" t="s">
        <v>272</v>
      </c>
      <c r="G70" s="2"/>
      <c r="H70" s="3"/>
      <c r="I70" s="2" t="s">
        <v>285</v>
      </c>
      <c r="J70" s="65"/>
    </row>
    <row r="71" spans="1:10" s="66" customFormat="1" ht="51" x14ac:dyDescent="0.2">
      <c r="A71" s="11" t="s">
        <v>220</v>
      </c>
      <c r="B71" s="11" t="s">
        <v>422</v>
      </c>
      <c r="C71" s="11" t="s">
        <v>427</v>
      </c>
      <c r="D71" s="13" t="s">
        <v>429</v>
      </c>
      <c r="E71" s="3"/>
      <c r="F71" s="78" t="s">
        <v>272</v>
      </c>
      <c r="G71" s="2"/>
      <c r="H71" s="3"/>
      <c r="I71" s="2" t="s">
        <v>285</v>
      </c>
      <c r="J71" s="65"/>
    </row>
    <row r="72" spans="1:10" s="66" customFormat="1" ht="38.25" x14ac:dyDescent="0.2">
      <c r="A72" s="11" t="s">
        <v>221</v>
      </c>
      <c r="B72" s="11" t="s">
        <v>430</v>
      </c>
      <c r="C72" s="11" t="s">
        <v>431</v>
      </c>
      <c r="D72" s="13" t="s">
        <v>432</v>
      </c>
      <c r="E72" s="3"/>
      <c r="F72" s="78" t="s">
        <v>272</v>
      </c>
      <c r="G72" s="2"/>
      <c r="H72" s="3"/>
      <c r="I72" s="2" t="s">
        <v>285</v>
      </c>
      <c r="J72" s="65"/>
    </row>
    <row r="73" spans="1:10" s="66" customFormat="1" ht="25.5" x14ac:dyDescent="0.2">
      <c r="A73" s="11" t="s">
        <v>222</v>
      </c>
      <c r="B73" s="11" t="s">
        <v>433</v>
      </c>
      <c r="C73" s="11" t="s">
        <v>434</v>
      </c>
      <c r="D73" s="13" t="s">
        <v>435</v>
      </c>
      <c r="E73" s="3"/>
      <c r="F73" s="78" t="s">
        <v>272</v>
      </c>
      <c r="G73" s="2"/>
      <c r="H73" s="3"/>
      <c r="I73" s="2" t="s">
        <v>285</v>
      </c>
      <c r="J73" s="65"/>
    </row>
    <row r="74" spans="1:10" s="66" customFormat="1" ht="38.25" x14ac:dyDescent="0.2">
      <c r="A74" s="11" t="s">
        <v>223</v>
      </c>
      <c r="B74" s="11" t="s">
        <v>433</v>
      </c>
      <c r="C74" s="11" t="s">
        <v>436</v>
      </c>
      <c r="D74" s="13" t="s">
        <v>437</v>
      </c>
      <c r="E74" s="3"/>
      <c r="F74" s="78" t="s">
        <v>272</v>
      </c>
      <c r="G74" s="2"/>
      <c r="H74" s="3"/>
      <c r="I74" s="2" t="s">
        <v>285</v>
      </c>
      <c r="J74" s="65"/>
    </row>
    <row r="75" spans="1:10" s="66" customFormat="1" ht="114.75" x14ac:dyDescent="0.2">
      <c r="A75" s="11" t="s">
        <v>224</v>
      </c>
      <c r="B75" s="11" t="s">
        <v>38</v>
      </c>
      <c r="C75" s="11" t="s">
        <v>296</v>
      </c>
      <c r="D75" s="13" t="s">
        <v>438</v>
      </c>
      <c r="E75" s="3"/>
      <c r="F75" s="78" t="s">
        <v>439</v>
      </c>
      <c r="G75" s="2"/>
      <c r="H75" s="3" t="s">
        <v>440</v>
      </c>
      <c r="I75" s="2" t="s">
        <v>285</v>
      </c>
      <c r="J75" s="65"/>
    </row>
    <row r="76" spans="1:10" s="66" customFormat="1" ht="33.75" x14ac:dyDescent="0.2">
      <c r="A76" s="11" t="s">
        <v>225</v>
      </c>
      <c r="B76" s="11" t="s">
        <v>36</v>
      </c>
      <c r="C76" s="11" t="s">
        <v>302</v>
      </c>
      <c r="D76" s="79" t="s">
        <v>441</v>
      </c>
      <c r="E76" s="3"/>
      <c r="F76" s="78" t="s">
        <v>272</v>
      </c>
      <c r="G76" s="2"/>
      <c r="H76" s="3"/>
      <c r="I76" s="2" t="s">
        <v>285</v>
      </c>
      <c r="J76" s="65"/>
    </row>
    <row r="77" spans="1:10" s="66" customFormat="1" ht="38.25" x14ac:dyDescent="0.2">
      <c r="A77" s="11" t="s">
        <v>226</v>
      </c>
      <c r="B77" s="11" t="s">
        <v>36</v>
      </c>
      <c r="C77" s="11" t="s">
        <v>302</v>
      </c>
      <c r="D77" s="13" t="s">
        <v>442</v>
      </c>
      <c r="E77" s="3"/>
      <c r="F77" s="78" t="s">
        <v>272</v>
      </c>
      <c r="G77" s="2"/>
      <c r="H77" s="3"/>
      <c r="I77" s="2" t="s">
        <v>285</v>
      </c>
      <c r="J77" s="65"/>
    </row>
    <row r="78" spans="1:10" s="66" customFormat="1" ht="38.25" x14ac:dyDescent="0.2">
      <c r="A78" s="11" t="s">
        <v>227</v>
      </c>
      <c r="B78" s="11" t="s">
        <v>36</v>
      </c>
      <c r="C78" s="11" t="s">
        <v>302</v>
      </c>
      <c r="D78" s="13" t="s">
        <v>443</v>
      </c>
      <c r="E78" s="3"/>
      <c r="F78" s="78" t="s">
        <v>272</v>
      </c>
      <c r="G78" s="2"/>
      <c r="H78" s="3"/>
      <c r="I78" s="2" t="s">
        <v>285</v>
      </c>
      <c r="J78" s="65"/>
    </row>
    <row r="79" spans="1:10" s="66" customFormat="1" ht="102" x14ac:dyDescent="0.2">
      <c r="A79" s="11" t="s">
        <v>228</v>
      </c>
      <c r="B79" s="11" t="s">
        <v>33</v>
      </c>
      <c r="C79" s="11" t="s">
        <v>302</v>
      </c>
      <c r="D79" s="13" t="s">
        <v>444</v>
      </c>
      <c r="E79" s="3"/>
      <c r="F79" s="78" t="s">
        <v>272</v>
      </c>
      <c r="G79" s="2"/>
      <c r="H79" s="3" t="s">
        <v>445</v>
      </c>
      <c r="I79" s="2" t="s">
        <v>285</v>
      </c>
      <c r="J79" s="65"/>
    </row>
    <row r="80" spans="1:10" s="66" customFormat="1" ht="38.25" x14ac:dyDescent="0.2">
      <c r="A80" s="11" t="s">
        <v>229</v>
      </c>
      <c r="B80" s="11" t="s">
        <v>33</v>
      </c>
      <c r="C80" s="11" t="s">
        <v>278</v>
      </c>
      <c r="D80" s="13" t="s">
        <v>446</v>
      </c>
      <c r="E80" s="3"/>
      <c r="F80" s="78" t="s">
        <v>272</v>
      </c>
      <c r="G80" s="2"/>
      <c r="H80" s="3" t="s">
        <v>447</v>
      </c>
      <c r="I80" s="2" t="s">
        <v>274</v>
      </c>
      <c r="J80" s="65"/>
    </row>
    <row r="81" spans="1:10" s="66" customFormat="1" ht="102" x14ac:dyDescent="0.2">
      <c r="A81" s="11" t="s">
        <v>230</v>
      </c>
      <c r="B81" s="11" t="s">
        <v>33</v>
      </c>
      <c r="C81" s="11" t="s">
        <v>302</v>
      </c>
      <c r="D81" s="13" t="s">
        <v>448</v>
      </c>
      <c r="E81" s="3"/>
      <c r="F81" s="78" t="s">
        <v>272</v>
      </c>
      <c r="G81" s="2"/>
      <c r="H81" s="3" t="s">
        <v>449</v>
      </c>
      <c r="I81" s="2" t="s">
        <v>285</v>
      </c>
      <c r="J81" s="65"/>
    </row>
    <row r="82" spans="1:10" s="66" customFormat="1" ht="25.5" x14ac:dyDescent="0.2">
      <c r="A82" s="11" t="s">
        <v>231</v>
      </c>
      <c r="B82" s="11" t="s">
        <v>33</v>
      </c>
      <c r="C82" s="11" t="s">
        <v>302</v>
      </c>
      <c r="D82" s="13" t="s">
        <v>450</v>
      </c>
      <c r="E82" s="3"/>
      <c r="F82" s="78" t="s">
        <v>272</v>
      </c>
      <c r="G82" s="2"/>
      <c r="H82" s="3" t="s">
        <v>447</v>
      </c>
      <c r="I82" s="2" t="s">
        <v>274</v>
      </c>
      <c r="J82" s="65"/>
    </row>
    <row r="83" spans="1:10" s="66" customFormat="1" ht="25.5" x14ac:dyDescent="0.2">
      <c r="A83" s="11" t="s">
        <v>232</v>
      </c>
      <c r="B83" s="11" t="s">
        <v>33</v>
      </c>
      <c r="C83" s="11" t="s">
        <v>451</v>
      </c>
      <c r="D83" s="13" t="s">
        <v>452</v>
      </c>
      <c r="E83" s="3"/>
      <c r="F83" s="78" t="s">
        <v>272</v>
      </c>
      <c r="G83" s="2"/>
      <c r="H83" s="3"/>
      <c r="I83" s="2" t="s">
        <v>285</v>
      </c>
      <c r="J83" s="65"/>
    </row>
    <row r="84" spans="1:10" s="66" customFormat="1" ht="51" x14ac:dyDescent="0.2">
      <c r="A84" s="11" t="s">
        <v>233</v>
      </c>
      <c r="B84" s="11" t="s">
        <v>33</v>
      </c>
      <c r="C84" s="11"/>
      <c r="D84" s="13" t="s">
        <v>453</v>
      </c>
      <c r="E84" s="3"/>
      <c r="F84" s="78" t="s">
        <v>272</v>
      </c>
      <c r="G84" s="2"/>
      <c r="H84" s="3" t="s">
        <v>454</v>
      </c>
      <c r="I84" s="2" t="s">
        <v>274</v>
      </c>
      <c r="J84" s="65"/>
    </row>
    <row r="85" spans="1:10" s="66" customFormat="1" ht="12.75" x14ac:dyDescent="0.2">
      <c r="A85" s="11" t="s">
        <v>234</v>
      </c>
      <c r="B85" s="11" t="s">
        <v>33</v>
      </c>
      <c r="C85" s="11" t="s">
        <v>286</v>
      </c>
      <c r="D85" s="13" t="s">
        <v>455</v>
      </c>
      <c r="E85" s="3"/>
      <c r="F85" s="78" t="s">
        <v>272</v>
      </c>
      <c r="G85" s="2"/>
      <c r="H85" s="3"/>
      <c r="I85" s="2" t="s">
        <v>285</v>
      </c>
      <c r="J85" s="65"/>
    </row>
    <row r="86" spans="1:10" s="66" customFormat="1" ht="12.75" x14ac:dyDescent="0.2">
      <c r="A86" s="11" t="s">
        <v>235</v>
      </c>
      <c r="B86" s="11" t="s">
        <v>33</v>
      </c>
      <c r="C86" s="11" t="s">
        <v>269</v>
      </c>
      <c r="D86" s="13" t="s">
        <v>456</v>
      </c>
      <c r="E86" s="3"/>
      <c r="F86" s="78" t="s">
        <v>272</v>
      </c>
      <c r="G86" s="2"/>
      <c r="H86" s="3"/>
      <c r="I86" s="2" t="s">
        <v>285</v>
      </c>
      <c r="J86" s="65"/>
    </row>
    <row r="87" spans="1:10" s="66" customFormat="1" ht="76.5" x14ac:dyDescent="0.2">
      <c r="A87" s="11" t="s">
        <v>236</v>
      </c>
      <c r="B87" s="11" t="s">
        <v>33</v>
      </c>
      <c r="C87" s="11" t="s">
        <v>269</v>
      </c>
      <c r="D87" s="79" t="s">
        <v>457</v>
      </c>
      <c r="E87" s="3"/>
      <c r="F87" s="78" t="s">
        <v>458</v>
      </c>
      <c r="G87" s="2"/>
      <c r="H87" s="3" t="s">
        <v>459</v>
      </c>
      <c r="I87" s="2" t="s">
        <v>274</v>
      </c>
      <c r="J87" s="65"/>
    </row>
    <row r="88" spans="1:10" s="66" customFormat="1" ht="25.5" x14ac:dyDescent="0.2">
      <c r="A88" s="11" t="s">
        <v>237</v>
      </c>
      <c r="B88" s="11" t="s">
        <v>33</v>
      </c>
      <c r="C88" s="11" t="s">
        <v>409</v>
      </c>
      <c r="D88" s="13" t="s">
        <v>460</v>
      </c>
      <c r="E88" s="3"/>
      <c r="F88" s="78" t="s">
        <v>461</v>
      </c>
      <c r="G88" s="2"/>
      <c r="H88" s="3" t="s">
        <v>462</v>
      </c>
      <c r="I88" s="2" t="s">
        <v>274</v>
      </c>
      <c r="J88" s="65"/>
    </row>
    <row r="89" spans="1:10" s="66" customFormat="1" ht="25.5" x14ac:dyDescent="0.2">
      <c r="A89" s="11" t="s">
        <v>238</v>
      </c>
      <c r="B89" s="11" t="s">
        <v>33</v>
      </c>
      <c r="C89" s="11" t="s">
        <v>409</v>
      </c>
      <c r="D89" s="13" t="s">
        <v>463</v>
      </c>
      <c r="E89" s="3"/>
      <c r="F89" s="78" t="s">
        <v>461</v>
      </c>
      <c r="G89" s="2"/>
      <c r="H89" s="3" t="s">
        <v>464</v>
      </c>
      <c r="I89" s="2" t="s">
        <v>274</v>
      </c>
      <c r="J89" s="65"/>
    </row>
    <row r="90" spans="1:10" s="66" customFormat="1" ht="22.5" x14ac:dyDescent="0.2">
      <c r="A90" s="11" t="s">
        <v>239</v>
      </c>
      <c r="B90" s="11" t="s">
        <v>33</v>
      </c>
      <c r="C90" s="11" t="s">
        <v>409</v>
      </c>
      <c r="D90" s="13" t="s">
        <v>465</v>
      </c>
      <c r="E90" s="3"/>
      <c r="F90" s="78" t="s">
        <v>461</v>
      </c>
      <c r="G90" s="2"/>
      <c r="H90" s="3"/>
      <c r="I90" s="2" t="s">
        <v>285</v>
      </c>
      <c r="J90" s="65"/>
    </row>
    <row r="91" spans="1:10" s="66" customFormat="1" ht="38.25" x14ac:dyDescent="0.2">
      <c r="A91" s="11" t="s">
        <v>240</v>
      </c>
      <c r="B91" s="11" t="s">
        <v>33</v>
      </c>
      <c r="C91" s="11" t="s">
        <v>302</v>
      </c>
      <c r="D91" s="13" t="s">
        <v>466</v>
      </c>
      <c r="E91" s="3"/>
      <c r="F91" s="78" t="s">
        <v>461</v>
      </c>
      <c r="G91" s="2"/>
      <c r="H91" s="3" t="s">
        <v>467</v>
      </c>
      <c r="I91" s="2" t="s">
        <v>274</v>
      </c>
      <c r="J91" s="65"/>
    </row>
    <row r="92" spans="1:10" s="66" customFormat="1" ht="25.5" x14ac:dyDescent="0.2">
      <c r="A92" s="11" t="s">
        <v>241</v>
      </c>
      <c r="B92" s="11" t="s">
        <v>33</v>
      </c>
      <c r="C92" s="11" t="s">
        <v>302</v>
      </c>
      <c r="D92" s="13" t="s">
        <v>468</v>
      </c>
      <c r="E92" s="3"/>
      <c r="F92" s="78" t="s">
        <v>461</v>
      </c>
      <c r="G92" s="2"/>
      <c r="H92" s="3" t="s">
        <v>469</v>
      </c>
      <c r="I92" s="2" t="s">
        <v>274</v>
      </c>
      <c r="J92" s="65"/>
    </row>
    <row r="93" spans="1:10" s="66" customFormat="1" ht="25.5" x14ac:dyDescent="0.2">
      <c r="A93" s="11" t="s">
        <v>242</v>
      </c>
      <c r="B93" s="11" t="s">
        <v>33</v>
      </c>
      <c r="C93" s="11" t="s">
        <v>269</v>
      </c>
      <c r="D93" s="13" t="s">
        <v>470</v>
      </c>
      <c r="E93" s="3"/>
      <c r="F93" s="78" t="s">
        <v>461</v>
      </c>
      <c r="G93" s="2"/>
      <c r="H93" s="3" t="s">
        <v>471</v>
      </c>
      <c r="I93" s="2" t="s">
        <v>274</v>
      </c>
      <c r="J93" s="65"/>
    </row>
    <row r="94" spans="1:10" s="66" customFormat="1" ht="12.75" x14ac:dyDescent="0.2">
      <c r="A94" s="11" t="s">
        <v>243</v>
      </c>
      <c r="B94" s="11" t="s">
        <v>33</v>
      </c>
      <c r="C94" s="11" t="s">
        <v>472</v>
      </c>
      <c r="D94" s="13" t="s">
        <v>473</v>
      </c>
      <c r="E94" s="3"/>
      <c r="F94" s="78" t="s">
        <v>272</v>
      </c>
      <c r="G94" s="2"/>
      <c r="H94" s="3" t="s">
        <v>474</v>
      </c>
      <c r="I94" s="2" t="s">
        <v>285</v>
      </c>
      <c r="J94" s="65"/>
    </row>
    <row r="95" spans="1:10" s="66" customFormat="1" ht="25.5" x14ac:dyDescent="0.2">
      <c r="A95" s="11" t="s">
        <v>244</v>
      </c>
      <c r="B95" s="11" t="s">
        <v>33</v>
      </c>
      <c r="C95" s="11" t="s">
        <v>475</v>
      </c>
      <c r="D95" s="13" t="s">
        <v>476</v>
      </c>
      <c r="E95" s="3"/>
      <c r="F95" s="78" t="s">
        <v>272</v>
      </c>
      <c r="G95" s="2"/>
      <c r="H95" s="3" t="s">
        <v>477</v>
      </c>
      <c r="I95" s="2" t="s">
        <v>277</v>
      </c>
      <c r="J95" s="65"/>
    </row>
    <row r="96" spans="1:10" s="66" customFormat="1" ht="22.5" x14ac:dyDescent="0.2">
      <c r="A96" s="11" t="s">
        <v>245</v>
      </c>
      <c r="B96" s="11" t="s">
        <v>33</v>
      </c>
      <c r="C96" s="11" t="s">
        <v>302</v>
      </c>
      <c r="D96" s="13" t="s">
        <v>478</v>
      </c>
      <c r="E96" s="3"/>
      <c r="F96" s="78" t="s">
        <v>479</v>
      </c>
      <c r="G96" s="2"/>
      <c r="H96" s="3"/>
      <c r="I96" s="2" t="s">
        <v>285</v>
      </c>
      <c r="J96" s="65"/>
    </row>
    <row r="97" spans="1:10" s="66" customFormat="1" ht="38.25" x14ac:dyDescent="0.2">
      <c r="A97" s="11" t="s">
        <v>246</v>
      </c>
      <c r="B97" s="11" t="s">
        <v>33</v>
      </c>
      <c r="C97" s="11" t="s">
        <v>286</v>
      </c>
      <c r="D97" s="13" t="s">
        <v>480</v>
      </c>
      <c r="E97" s="3"/>
      <c r="F97" s="78" t="s">
        <v>479</v>
      </c>
      <c r="G97" s="2"/>
      <c r="H97" s="3" t="s">
        <v>481</v>
      </c>
      <c r="I97" s="2" t="s">
        <v>274</v>
      </c>
      <c r="J97" s="65"/>
    </row>
    <row r="98" spans="1:10" s="66" customFormat="1" ht="78.75" x14ac:dyDescent="0.2">
      <c r="A98" s="11" t="s">
        <v>247</v>
      </c>
      <c r="B98" s="11" t="s">
        <v>33</v>
      </c>
      <c r="C98" s="11"/>
      <c r="D98" s="79" t="s">
        <v>482</v>
      </c>
      <c r="E98" s="3"/>
      <c r="F98" s="78" t="s">
        <v>483</v>
      </c>
      <c r="G98" s="2"/>
      <c r="H98" s="3" t="s">
        <v>484</v>
      </c>
      <c r="I98" s="2" t="s">
        <v>274</v>
      </c>
      <c r="J98" s="65"/>
    </row>
    <row r="99" spans="1:10" s="66" customFormat="1" ht="38.25" x14ac:dyDescent="0.2">
      <c r="A99" s="11" t="s">
        <v>248</v>
      </c>
      <c r="B99" s="11" t="s">
        <v>33</v>
      </c>
      <c r="C99" s="11"/>
      <c r="D99" s="79" t="s">
        <v>485</v>
      </c>
      <c r="E99" s="3"/>
      <c r="F99" s="78" t="s">
        <v>486</v>
      </c>
      <c r="G99" s="2"/>
      <c r="H99" s="3" t="s">
        <v>487</v>
      </c>
      <c r="I99" s="2" t="s">
        <v>274</v>
      </c>
      <c r="J99" s="65"/>
    </row>
    <row r="100" spans="1:10" s="66" customFormat="1" ht="25.5" x14ac:dyDescent="0.2">
      <c r="A100" s="11" t="s">
        <v>249</v>
      </c>
      <c r="B100" s="11" t="s">
        <v>33</v>
      </c>
      <c r="C100" s="11" t="s">
        <v>278</v>
      </c>
      <c r="D100" s="13" t="s">
        <v>488</v>
      </c>
      <c r="E100" s="3"/>
      <c r="F100" s="78" t="s">
        <v>272</v>
      </c>
      <c r="G100" s="2"/>
      <c r="H100" s="3" t="s">
        <v>484</v>
      </c>
      <c r="I100" s="2" t="s">
        <v>274</v>
      </c>
      <c r="J100" s="65"/>
    </row>
    <row r="101" spans="1:10" s="66" customFormat="1" ht="94.5" x14ac:dyDescent="0.2">
      <c r="A101" s="11" t="s">
        <v>250</v>
      </c>
      <c r="B101" s="11" t="s">
        <v>33</v>
      </c>
      <c r="C101" s="11" t="s">
        <v>278</v>
      </c>
      <c r="D101" s="79" t="s">
        <v>489</v>
      </c>
      <c r="E101" s="3"/>
      <c r="F101" s="78" t="s">
        <v>490</v>
      </c>
      <c r="G101" s="2"/>
      <c r="H101" s="3" t="s">
        <v>491</v>
      </c>
      <c r="I101" s="2" t="s">
        <v>274</v>
      </c>
      <c r="J101" s="65"/>
    </row>
    <row r="102" spans="1:10" s="66" customFormat="1" ht="33.75" x14ac:dyDescent="0.2">
      <c r="A102" s="11" t="s">
        <v>251</v>
      </c>
      <c r="B102" s="11" t="s">
        <v>33</v>
      </c>
      <c r="C102" s="11" t="s">
        <v>269</v>
      </c>
      <c r="D102" s="13" t="s">
        <v>492</v>
      </c>
      <c r="E102" s="3"/>
      <c r="F102" s="78" t="s">
        <v>493</v>
      </c>
      <c r="G102" s="2" t="s">
        <v>126</v>
      </c>
      <c r="H102" s="3" t="s">
        <v>494</v>
      </c>
      <c r="I102" s="2" t="s">
        <v>285</v>
      </c>
      <c r="J102" s="65"/>
    </row>
    <row r="103" spans="1:10" ht="33.75" x14ac:dyDescent="0.2">
      <c r="A103" s="11" t="s">
        <v>495</v>
      </c>
      <c r="B103" s="11" t="s">
        <v>33</v>
      </c>
      <c r="C103" s="11" t="s">
        <v>269</v>
      </c>
      <c r="D103" s="13" t="s">
        <v>496</v>
      </c>
      <c r="E103" s="3"/>
      <c r="F103" s="78" t="s">
        <v>497</v>
      </c>
      <c r="G103" s="2"/>
      <c r="H103" s="3" t="s">
        <v>498</v>
      </c>
      <c r="I103" s="2" t="s">
        <v>305</v>
      </c>
      <c r="J103" s="65"/>
    </row>
    <row r="104" spans="1:10" ht="76.5" x14ac:dyDescent="0.2">
      <c r="A104" s="11" t="s">
        <v>499</v>
      </c>
      <c r="B104" s="11" t="s">
        <v>33</v>
      </c>
      <c r="C104" s="11" t="s">
        <v>278</v>
      </c>
      <c r="D104" s="13" t="s">
        <v>500</v>
      </c>
      <c r="E104" s="3"/>
      <c r="F104" s="78" t="s">
        <v>497</v>
      </c>
      <c r="G104" s="2"/>
      <c r="H104" s="3" t="s">
        <v>501</v>
      </c>
      <c r="I104" s="2" t="s">
        <v>285</v>
      </c>
      <c r="J104" s="65"/>
    </row>
    <row r="105" spans="1:10" ht="33.75" x14ac:dyDescent="0.2">
      <c r="A105" s="11" t="s">
        <v>502</v>
      </c>
      <c r="B105" s="11" t="s">
        <v>33</v>
      </c>
      <c r="C105" s="11" t="s">
        <v>286</v>
      </c>
      <c r="D105" s="13" t="s">
        <v>503</v>
      </c>
      <c r="E105" s="3"/>
      <c r="F105" s="78" t="s">
        <v>504</v>
      </c>
      <c r="G105" s="2"/>
      <c r="H105" s="3" t="s">
        <v>505</v>
      </c>
      <c r="I105" s="2" t="s">
        <v>285</v>
      </c>
      <c r="J105" s="65"/>
    </row>
    <row r="106" spans="1:10" ht="33.75" x14ac:dyDescent="0.2">
      <c r="A106" s="11" t="s">
        <v>506</v>
      </c>
      <c r="B106" s="11" t="s">
        <v>33</v>
      </c>
      <c r="C106" s="11" t="s">
        <v>507</v>
      </c>
      <c r="D106" s="13" t="s">
        <v>508</v>
      </c>
      <c r="E106" s="3"/>
      <c r="F106" s="78" t="s">
        <v>509</v>
      </c>
      <c r="G106" s="2"/>
      <c r="H106" s="3" t="s">
        <v>510</v>
      </c>
      <c r="I106" s="2" t="s">
        <v>285</v>
      </c>
      <c r="J106" s="65"/>
    </row>
    <row r="107" spans="1:10" ht="33.75" x14ac:dyDescent="0.2">
      <c r="A107" s="11" t="s">
        <v>511</v>
      </c>
      <c r="B107" s="11" t="s">
        <v>33</v>
      </c>
      <c r="C107" s="11"/>
      <c r="D107" s="13" t="s">
        <v>512</v>
      </c>
      <c r="E107" s="3"/>
      <c r="F107" s="78" t="s">
        <v>513</v>
      </c>
      <c r="G107" s="2"/>
      <c r="H107" s="3" t="s">
        <v>514</v>
      </c>
      <c r="I107" s="2" t="s">
        <v>274</v>
      </c>
      <c r="J107" s="65"/>
    </row>
    <row r="108" spans="1:10" ht="38.25" x14ac:dyDescent="0.2">
      <c r="A108" s="11" t="s">
        <v>515</v>
      </c>
      <c r="B108" s="11" t="s">
        <v>33</v>
      </c>
      <c r="C108" s="11"/>
      <c r="D108" s="13" t="s">
        <v>516</v>
      </c>
      <c r="E108" s="3"/>
      <c r="F108" s="78" t="s">
        <v>513</v>
      </c>
      <c r="G108" s="2"/>
      <c r="H108" s="3" t="s">
        <v>517</v>
      </c>
      <c r="I108" s="2" t="s">
        <v>274</v>
      </c>
      <c r="J108" s="65"/>
    </row>
    <row r="109" spans="1:10" ht="63.75" x14ac:dyDescent="0.2">
      <c r="A109" s="11" t="s">
        <v>518</v>
      </c>
      <c r="B109" s="11" t="s">
        <v>33</v>
      </c>
      <c r="C109" s="11"/>
      <c r="D109" s="13" t="s">
        <v>519</v>
      </c>
      <c r="E109" s="3"/>
      <c r="F109" s="78" t="s">
        <v>513</v>
      </c>
      <c r="G109" s="2"/>
      <c r="H109" s="3" t="s">
        <v>520</v>
      </c>
      <c r="I109" s="2" t="s">
        <v>274</v>
      </c>
      <c r="J109" s="65"/>
    </row>
    <row r="110" spans="1:10" ht="33.75" x14ac:dyDescent="0.2">
      <c r="A110" s="11" t="s">
        <v>521</v>
      </c>
      <c r="B110" s="11" t="s">
        <v>33</v>
      </c>
      <c r="C110" s="11"/>
      <c r="D110" s="13" t="s">
        <v>522</v>
      </c>
      <c r="E110" s="3"/>
      <c r="F110" s="78" t="s">
        <v>513</v>
      </c>
      <c r="G110" s="2"/>
      <c r="H110" s="3" t="s">
        <v>523</v>
      </c>
      <c r="I110" s="2" t="s">
        <v>305</v>
      </c>
      <c r="J110" s="65"/>
    </row>
    <row r="111" spans="1:10" ht="38.25" x14ac:dyDescent="0.2">
      <c r="A111" s="11" t="s">
        <v>524</v>
      </c>
      <c r="B111" s="11" t="s">
        <v>33</v>
      </c>
      <c r="C111" s="11"/>
      <c r="D111" s="13" t="s">
        <v>525</v>
      </c>
      <c r="E111" s="3"/>
      <c r="F111" s="78" t="s">
        <v>513</v>
      </c>
      <c r="G111" s="2"/>
      <c r="H111" s="3" t="s">
        <v>526</v>
      </c>
      <c r="I111" s="2" t="s">
        <v>305</v>
      </c>
      <c r="J111" s="65"/>
    </row>
    <row r="112" spans="1:10" ht="80.25" x14ac:dyDescent="0.2">
      <c r="A112" s="11" t="s">
        <v>527</v>
      </c>
      <c r="B112" s="11" t="s">
        <v>33</v>
      </c>
      <c r="C112" s="11"/>
      <c r="D112" s="13" t="s">
        <v>528</v>
      </c>
      <c r="E112" s="3"/>
      <c r="F112" s="78" t="s">
        <v>513</v>
      </c>
      <c r="G112" s="2"/>
      <c r="H112" s="3" t="s">
        <v>529</v>
      </c>
      <c r="I112" s="2" t="s">
        <v>277</v>
      </c>
      <c r="J112" s="65"/>
    </row>
    <row r="113" spans="1:10" ht="33.75" x14ac:dyDescent="0.2">
      <c r="A113" s="11" t="s">
        <v>530</v>
      </c>
      <c r="B113" s="11" t="s">
        <v>33</v>
      </c>
      <c r="C113" s="11" t="s">
        <v>269</v>
      </c>
      <c r="D113" s="13" t="s">
        <v>531</v>
      </c>
      <c r="E113" s="3"/>
      <c r="F113" s="78" t="s">
        <v>532</v>
      </c>
      <c r="G113" s="2"/>
      <c r="H113" s="3" t="s">
        <v>533</v>
      </c>
      <c r="I113" s="2" t="s">
        <v>285</v>
      </c>
      <c r="J113" s="65"/>
    </row>
    <row r="114" spans="1:10" ht="51" x14ac:dyDescent="0.2">
      <c r="A114" s="11" t="s">
        <v>534</v>
      </c>
      <c r="B114" s="11" t="s">
        <v>33</v>
      </c>
      <c r="C114" s="11" t="s">
        <v>286</v>
      </c>
      <c r="D114" s="13" t="s">
        <v>535</v>
      </c>
      <c r="E114" s="3"/>
      <c r="F114" s="78" t="s">
        <v>536</v>
      </c>
      <c r="G114" s="2"/>
      <c r="H114" s="3" t="s">
        <v>537</v>
      </c>
      <c r="I114" s="2" t="s">
        <v>285</v>
      </c>
      <c r="J114" s="65"/>
    </row>
    <row r="115" spans="1:10" ht="33.75" x14ac:dyDescent="0.2">
      <c r="A115" s="11" t="s">
        <v>538</v>
      </c>
      <c r="B115" s="11" t="s">
        <v>33</v>
      </c>
      <c r="C115" s="11" t="s">
        <v>286</v>
      </c>
      <c r="D115" s="13" t="s">
        <v>539</v>
      </c>
      <c r="E115" s="3"/>
      <c r="F115" s="78" t="s">
        <v>540</v>
      </c>
      <c r="G115" s="2"/>
      <c r="H115" s="3" t="s">
        <v>541</v>
      </c>
      <c r="I115" s="2" t="s">
        <v>56</v>
      </c>
      <c r="J115" s="65"/>
    </row>
    <row r="116" spans="1:10" ht="63.75" x14ac:dyDescent="0.2">
      <c r="A116" s="11" t="s">
        <v>542</v>
      </c>
      <c r="B116" s="11" t="s">
        <v>33</v>
      </c>
      <c r="C116" s="11" t="s">
        <v>302</v>
      </c>
      <c r="D116" s="13" t="s">
        <v>543</v>
      </c>
      <c r="E116" s="3"/>
      <c r="F116" s="78" t="s">
        <v>544</v>
      </c>
      <c r="G116" s="2"/>
      <c r="H116" s="3" t="s">
        <v>545</v>
      </c>
      <c r="I116" s="2" t="s">
        <v>274</v>
      </c>
      <c r="J116" s="65"/>
    </row>
    <row r="117" spans="1:10" ht="38.25" x14ac:dyDescent="0.2">
      <c r="A117" s="11" t="s">
        <v>546</v>
      </c>
      <c r="B117" s="11" t="s">
        <v>33</v>
      </c>
      <c r="C117" s="11"/>
      <c r="D117" s="13" t="s">
        <v>547</v>
      </c>
      <c r="E117" s="3"/>
      <c r="F117" s="78" t="s">
        <v>544</v>
      </c>
      <c r="G117" s="2"/>
      <c r="H117" s="3" t="s">
        <v>548</v>
      </c>
      <c r="I117" s="2" t="s">
        <v>274</v>
      </c>
      <c r="J117" s="65"/>
    </row>
    <row r="118" spans="1:10" ht="63.75" x14ac:dyDescent="0.2">
      <c r="A118" s="11" t="s">
        <v>549</v>
      </c>
      <c r="B118" s="11" t="s">
        <v>33</v>
      </c>
      <c r="C118" s="11" t="s">
        <v>302</v>
      </c>
      <c r="D118" s="13" t="s">
        <v>550</v>
      </c>
      <c r="E118" s="3"/>
      <c r="F118" s="78" t="s">
        <v>544</v>
      </c>
      <c r="G118" s="2"/>
      <c r="H118" s="3" t="s">
        <v>551</v>
      </c>
      <c r="I118" s="2" t="s">
        <v>285</v>
      </c>
      <c r="J118" s="65"/>
    </row>
    <row r="119" spans="1:10" ht="153" x14ac:dyDescent="0.2">
      <c r="A119" s="11" t="s">
        <v>552</v>
      </c>
      <c r="B119" s="11" t="s">
        <v>33</v>
      </c>
      <c r="C119" s="11" t="s">
        <v>553</v>
      </c>
      <c r="D119" s="13" t="s">
        <v>554</v>
      </c>
      <c r="E119" s="3"/>
      <c r="F119" s="78" t="s">
        <v>555</v>
      </c>
      <c r="G119" s="2" t="s">
        <v>116</v>
      </c>
      <c r="H119" s="3" t="s">
        <v>556</v>
      </c>
      <c r="I119" s="2" t="s">
        <v>274</v>
      </c>
      <c r="J119" s="65"/>
    </row>
    <row r="120" spans="1:10" ht="51" x14ac:dyDescent="0.2">
      <c r="A120" s="11" t="s">
        <v>557</v>
      </c>
      <c r="B120" s="11" t="s">
        <v>33</v>
      </c>
      <c r="C120" s="11" t="s">
        <v>302</v>
      </c>
      <c r="D120" s="13" t="s">
        <v>558</v>
      </c>
      <c r="E120" s="3"/>
      <c r="F120" s="78" t="s">
        <v>559</v>
      </c>
      <c r="G120" s="2"/>
      <c r="H120" s="3" t="s">
        <v>560</v>
      </c>
      <c r="I120" s="2" t="s">
        <v>274</v>
      </c>
      <c r="J120" s="65"/>
    </row>
    <row r="121" spans="1:10" ht="38.25" x14ac:dyDescent="0.2">
      <c r="A121" s="11" t="s">
        <v>561</v>
      </c>
      <c r="B121" s="11" t="s">
        <v>33</v>
      </c>
      <c r="C121" s="11" t="s">
        <v>302</v>
      </c>
      <c r="D121" s="13" t="s">
        <v>562</v>
      </c>
      <c r="E121" s="3"/>
      <c r="F121" s="78" t="s">
        <v>559</v>
      </c>
      <c r="G121" s="2"/>
      <c r="H121" s="3" t="s">
        <v>563</v>
      </c>
      <c r="I121" s="2" t="s">
        <v>274</v>
      </c>
      <c r="J121" s="65"/>
    </row>
    <row r="122" spans="1:10" ht="51" x14ac:dyDescent="0.2">
      <c r="A122" s="11" t="s">
        <v>564</v>
      </c>
      <c r="B122" s="11" t="s">
        <v>33</v>
      </c>
      <c r="C122" s="11" t="s">
        <v>278</v>
      </c>
      <c r="D122" s="13" t="s">
        <v>565</v>
      </c>
      <c r="E122" s="3"/>
      <c r="F122" s="78" t="s">
        <v>559</v>
      </c>
      <c r="G122" s="2"/>
      <c r="H122" s="3" t="s">
        <v>566</v>
      </c>
      <c r="I122" s="2" t="s">
        <v>274</v>
      </c>
      <c r="J122" s="65"/>
    </row>
    <row r="123" spans="1:10" ht="25.5" x14ac:dyDescent="0.2">
      <c r="A123" s="11" t="s">
        <v>567</v>
      </c>
      <c r="B123" s="11" t="s">
        <v>33</v>
      </c>
      <c r="C123" s="11" t="s">
        <v>278</v>
      </c>
      <c r="D123" s="13" t="s">
        <v>568</v>
      </c>
      <c r="E123" s="3"/>
      <c r="F123" s="78" t="s">
        <v>559</v>
      </c>
      <c r="G123" s="2"/>
      <c r="H123" s="3" t="s">
        <v>569</v>
      </c>
      <c r="I123" s="2" t="s">
        <v>274</v>
      </c>
      <c r="J123" s="65"/>
    </row>
    <row r="124" spans="1:10" ht="38.25" x14ac:dyDescent="0.2">
      <c r="A124" s="11" t="s">
        <v>570</v>
      </c>
      <c r="B124" s="11" t="s">
        <v>33</v>
      </c>
      <c r="C124" s="11" t="s">
        <v>269</v>
      </c>
      <c r="D124" s="13" t="s">
        <v>571</v>
      </c>
      <c r="E124" s="3"/>
      <c r="F124" s="78" t="s">
        <v>559</v>
      </c>
      <c r="G124" s="2"/>
      <c r="H124" s="3" t="s">
        <v>572</v>
      </c>
      <c r="I124" s="2" t="s">
        <v>274</v>
      </c>
      <c r="J124" s="65"/>
    </row>
    <row r="125" spans="1:10" ht="51" x14ac:dyDescent="0.2">
      <c r="A125" s="11" t="s">
        <v>573</v>
      </c>
      <c r="B125" s="11" t="s">
        <v>33</v>
      </c>
      <c r="C125" s="11" t="s">
        <v>269</v>
      </c>
      <c r="D125" s="13" t="s">
        <v>574</v>
      </c>
      <c r="E125" s="3"/>
      <c r="F125" s="78" t="s">
        <v>559</v>
      </c>
      <c r="G125" s="2"/>
      <c r="H125" s="3" t="s">
        <v>575</v>
      </c>
      <c r="I125" s="2" t="s">
        <v>274</v>
      </c>
      <c r="J125" s="65"/>
    </row>
    <row r="126" spans="1:10" ht="51" x14ac:dyDescent="0.2">
      <c r="A126" s="11" t="s">
        <v>576</v>
      </c>
      <c r="B126" s="11" t="s">
        <v>33</v>
      </c>
      <c r="C126" s="11" t="s">
        <v>269</v>
      </c>
      <c r="D126" s="13" t="s">
        <v>577</v>
      </c>
      <c r="E126" s="3"/>
      <c r="F126" s="78" t="s">
        <v>559</v>
      </c>
      <c r="G126" s="2"/>
      <c r="H126" s="3" t="s">
        <v>578</v>
      </c>
      <c r="I126" s="2" t="s">
        <v>274</v>
      </c>
      <c r="J126" s="65"/>
    </row>
    <row r="127" spans="1:10" ht="38.25" x14ac:dyDescent="0.2">
      <c r="A127" s="11" t="s">
        <v>579</v>
      </c>
      <c r="B127" s="11" t="s">
        <v>33</v>
      </c>
      <c r="C127" s="11" t="s">
        <v>286</v>
      </c>
      <c r="D127" s="13" t="s">
        <v>580</v>
      </c>
      <c r="E127" s="3"/>
      <c r="F127" s="78" t="s">
        <v>559</v>
      </c>
      <c r="G127" s="2"/>
      <c r="H127" s="3" t="s">
        <v>581</v>
      </c>
      <c r="I127" s="2" t="s">
        <v>285</v>
      </c>
      <c r="J127" s="65"/>
    </row>
    <row r="128" spans="1:10" ht="51" x14ac:dyDescent="0.2">
      <c r="A128" s="11" t="s">
        <v>582</v>
      </c>
      <c r="B128" s="11" t="s">
        <v>33</v>
      </c>
      <c r="C128" s="11" t="s">
        <v>286</v>
      </c>
      <c r="D128" s="13" t="s">
        <v>583</v>
      </c>
      <c r="E128" s="3"/>
      <c r="F128" s="78" t="s">
        <v>559</v>
      </c>
      <c r="G128" s="2"/>
      <c r="H128" s="3" t="s">
        <v>584</v>
      </c>
      <c r="I128" s="2" t="s">
        <v>274</v>
      </c>
      <c r="J128" s="65"/>
    </row>
    <row r="129" spans="1:12" ht="22.5" x14ac:dyDescent="0.2">
      <c r="A129" s="11" t="s">
        <v>585</v>
      </c>
      <c r="B129" s="11" t="s">
        <v>33</v>
      </c>
      <c r="C129" s="11" t="s">
        <v>286</v>
      </c>
      <c r="D129" s="13" t="s">
        <v>586</v>
      </c>
      <c r="E129" s="3"/>
      <c r="F129" s="78" t="s">
        <v>559</v>
      </c>
      <c r="G129" s="2"/>
      <c r="H129" s="3" t="s">
        <v>569</v>
      </c>
      <c r="I129" s="2" t="s">
        <v>274</v>
      </c>
      <c r="J129" s="65"/>
    </row>
    <row r="130" spans="1:12" ht="89.25" x14ac:dyDescent="0.2">
      <c r="A130" s="11" t="s">
        <v>587</v>
      </c>
      <c r="B130" s="11" t="s">
        <v>33</v>
      </c>
      <c r="C130" s="11" t="s">
        <v>269</v>
      </c>
      <c r="D130" s="13" t="s">
        <v>588</v>
      </c>
      <c r="E130" s="3"/>
      <c r="F130" s="78" t="s">
        <v>559</v>
      </c>
      <c r="G130" s="2"/>
      <c r="H130" s="3" t="s">
        <v>589</v>
      </c>
      <c r="I130" s="2" t="s">
        <v>274</v>
      </c>
      <c r="J130" s="65"/>
    </row>
    <row r="131" spans="1:12" ht="38.25" x14ac:dyDescent="0.2">
      <c r="A131" s="11" t="s">
        <v>590</v>
      </c>
      <c r="B131" s="11" t="s">
        <v>33</v>
      </c>
      <c r="C131" s="11" t="s">
        <v>278</v>
      </c>
      <c r="D131" s="13" t="s">
        <v>591</v>
      </c>
      <c r="E131" s="3"/>
      <c r="F131" s="78" t="s">
        <v>592</v>
      </c>
      <c r="G131" s="2"/>
      <c r="H131" s="3" t="s">
        <v>541</v>
      </c>
      <c r="I131" s="2" t="s">
        <v>56</v>
      </c>
      <c r="J131" s="65"/>
    </row>
    <row r="132" spans="1:12" ht="89.25" x14ac:dyDescent="0.2">
      <c r="A132" s="11" t="s">
        <v>593</v>
      </c>
      <c r="B132" s="11" t="s">
        <v>33</v>
      </c>
      <c r="C132" s="11" t="s">
        <v>302</v>
      </c>
      <c r="D132" s="13" t="s">
        <v>594</v>
      </c>
      <c r="E132" s="3"/>
      <c r="F132" s="78" t="s">
        <v>595</v>
      </c>
      <c r="G132" s="2"/>
      <c r="H132" s="3"/>
      <c r="I132" s="2" t="s">
        <v>285</v>
      </c>
      <c r="J132" s="65"/>
    </row>
    <row r="133" spans="1:12" ht="33.75" x14ac:dyDescent="0.2">
      <c r="A133" s="11" t="s">
        <v>596</v>
      </c>
      <c r="B133" s="11" t="s">
        <v>33</v>
      </c>
      <c r="C133" s="11" t="s">
        <v>302</v>
      </c>
      <c r="D133" s="13" t="s">
        <v>597</v>
      </c>
      <c r="E133" s="3"/>
      <c r="F133" s="78" t="s">
        <v>598</v>
      </c>
      <c r="G133" s="2"/>
      <c r="H133" s="3"/>
      <c r="I133" s="2" t="s">
        <v>285</v>
      </c>
      <c r="J133" s="65"/>
    </row>
    <row r="134" spans="1:12" ht="51" x14ac:dyDescent="0.2">
      <c r="A134" s="11" t="s">
        <v>599</v>
      </c>
      <c r="B134" s="11" t="s">
        <v>33</v>
      </c>
      <c r="C134" s="11"/>
      <c r="D134" s="13" t="s">
        <v>600</v>
      </c>
      <c r="E134" s="3"/>
      <c r="F134" s="78" t="s">
        <v>598</v>
      </c>
      <c r="G134" s="2"/>
      <c r="H134" s="3" t="s">
        <v>601</v>
      </c>
      <c r="I134" s="2" t="s">
        <v>285</v>
      </c>
      <c r="J134" s="65"/>
    </row>
    <row r="135" spans="1:12" ht="127.5" x14ac:dyDescent="0.2">
      <c r="A135" s="11" t="s">
        <v>602</v>
      </c>
      <c r="B135" s="11" t="s">
        <v>33</v>
      </c>
      <c r="C135" s="11"/>
      <c r="D135" s="13" t="s">
        <v>603</v>
      </c>
      <c r="E135" s="3"/>
      <c r="F135" s="78" t="s">
        <v>598</v>
      </c>
      <c r="G135" s="2"/>
      <c r="H135" s="3" t="s">
        <v>604</v>
      </c>
      <c r="I135" s="2" t="s">
        <v>285</v>
      </c>
      <c r="J135" s="65"/>
      <c r="L135" s="62" t="s">
        <v>266</v>
      </c>
    </row>
    <row r="136" spans="1:12" ht="63.75" x14ac:dyDescent="0.2">
      <c r="A136" s="11" t="s">
        <v>605</v>
      </c>
      <c r="B136" s="11" t="s">
        <v>30</v>
      </c>
      <c r="C136" s="11" t="s">
        <v>269</v>
      </c>
      <c r="D136" s="13" t="s">
        <v>606</v>
      </c>
      <c r="E136" s="3"/>
      <c r="F136" s="78" t="s">
        <v>607</v>
      </c>
      <c r="G136" s="2"/>
      <c r="H136" s="3"/>
      <c r="I136" s="2" t="s">
        <v>56</v>
      </c>
      <c r="J136" s="65"/>
    </row>
    <row r="137" spans="1:12" ht="38.25" x14ac:dyDescent="0.2">
      <c r="A137" s="11" t="s">
        <v>608</v>
      </c>
      <c r="B137" s="11" t="s">
        <v>24</v>
      </c>
      <c r="C137" s="11" t="s">
        <v>269</v>
      </c>
      <c r="D137" s="13" t="s">
        <v>609</v>
      </c>
      <c r="E137" s="3"/>
      <c r="F137" s="78" t="s">
        <v>610</v>
      </c>
      <c r="G137" s="2"/>
      <c r="H137" s="3"/>
      <c r="I137" s="2" t="s">
        <v>56</v>
      </c>
      <c r="J137" s="65"/>
    </row>
    <row r="138" spans="1:12" ht="33.75" x14ac:dyDescent="0.2">
      <c r="A138" s="11" t="s">
        <v>611</v>
      </c>
      <c r="B138" s="11" t="s">
        <v>24</v>
      </c>
      <c r="C138" s="11" t="s">
        <v>380</v>
      </c>
      <c r="D138" s="13" t="s">
        <v>612</v>
      </c>
      <c r="E138" s="3"/>
      <c r="F138" s="78" t="s">
        <v>613</v>
      </c>
      <c r="G138" s="2"/>
      <c r="H138" s="3"/>
      <c r="I138" s="2" t="s">
        <v>56</v>
      </c>
      <c r="J138" s="65"/>
    </row>
    <row r="139" spans="1:12" ht="114.75" x14ac:dyDescent="0.2">
      <c r="A139" s="11" t="s">
        <v>614</v>
      </c>
      <c r="B139" s="11" t="s">
        <v>24</v>
      </c>
      <c r="C139" s="11" t="s">
        <v>269</v>
      </c>
      <c r="D139" s="13" t="s">
        <v>615</v>
      </c>
      <c r="E139" s="3"/>
      <c r="F139" s="78" t="s">
        <v>613</v>
      </c>
      <c r="G139" s="2"/>
      <c r="H139" s="3" t="s">
        <v>616</v>
      </c>
      <c r="I139" s="2" t="s">
        <v>56</v>
      </c>
      <c r="J139" s="65"/>
    </row>
    <row r="140" spans="1:12" ht="51" x14ac:dyDescent="0.2">
      <c r="A140" s="11" t="s">
        <v>617</v>
      </c>
      <c r="B140" s="11" t="s">
        <v>24</v>
      </c>
      <c r="C140" s="11" t="s">
        <v>269</v>
      </c>
      <c r="D140" s="13" t="s">
        <v>618</v>
      </c>
      <c r="E140" s="3"/>
      <c r="F140" s="78" t="s">
        <v>613</v>
      </c>
      <c r="G140" s="2"/>
      <c r="H140" s="3"/>
      <c r="I140" s="2" t="s">
        <v>56</v>
      </c>
      <c r="J140" s="65"/>
    </row>
    <row r="141" spans="1:12" ht="33.75" x14ac:dyDescent="0.2">
      <c r="A141" s="11" t="s">
        <v>619</v>
      </c>
      <c r="B141" s="11" t="s">
        <v>24</v>
      </c>
      <c r="C141" s="11" t="s">
        <v>302</v>
      </c>
      <c r="D141" s="13" t="s">
        <v>620</v>
      </c>
      <c r="E141" s="3"/>
      <c r="F141" s="78" t="s">
        <v>621</v>
      </c>
      <c r="G141" s="2"/>
      <c r="H141" s="3"/>
      <c r="I141" s="2" t="s">
        <v>56</v>
      </c>
      <c r="J141" s="65"/>
    </row>
    <row r="142" spans="1:12" ht="63.75" x14ac:dyDescent="0.2">
      <c r="A142" s="11" t="s">
        <v>622</v>
      </c>
      <c r="B142" s="11" t="s">
        <v>20</v>
      </c>
      <c r="C142" s="11" t="s">
        <v>302</v>
      </c>
      <c r="D142" s="13" t="s">
        <v>623</v>
      </c>
      <c r="E142" s="3"/>
      <c r="F142" s="78"/>
      <c r="G142" s="2"/>
      <c r="H142" s="3" t="s">
        <v>624</v>
      </c>
      <c r="I142" s="2" t="s">
        <v>285</v>
      </c>
      <c r="J142" s="80" t="s">
        <v>625</v>
      </c>
    </row>
    <row r="143" spans="1:12" ht="127.5" x14ac:dyDescent="0.2">
      <c r="A143" s="11" t="s">
        <v>626</v>
      </c>
      <c r="B143" s="11" t="s">
        <v>20</v>
      </c>
      <c r="C143" s="11" t="s">
        <v>302</v>
      </c>
      <c r="D143" s="13" t="s">
        <v>627</v>
      </c>
      <c r="E143" s="3"/>
      <c r="F143" s="78"/>
      <c r="G143" s="2"/>
      <c r="H143" s="3" t="s">
        <v>628</v>
      </c>
      <c r="I143" s="2" t="s">
        <v>285</v>
      </c>
      <c r="J143" s="80" t="s">
        <v>625</v>
      </c>
    </row>
    <row r="144" spans="1:12" ht="51" x14ac:dyDescent="0.2">
      <c r="A144" s="11" t="s">
        <v>629</v>
      </c>
      <c r="B144" s="11" t="s">
        <v>20</v>
      </c>
      <c r="C144" s="11" t="s">
        <v>302</v>
      </c>
      <c r="D144" s="13" t="s">
        <v>630</v>
      </c>
      <c r="E144" s="3"/>
      <c r="F144" s="78"/>
      <c r="G144" s="2"/>
      <c r="H144" s="3" t="s">
        <v>631</v>
      </c>
      <c r="I144" s="2" t="s">
        <v>56</v>
      </c>
      <c r="J144" s="80" t="s">
        <v>625</v>
      </c>
    </row>
    <row r="145" spans="1:10" ht="89.25" x14ac:dyDescent="0.2">
      <c r="A145" s="11" t="s">
        <v>632</v>
      </c>
      <c r="B145" s="11" t="s">
        <v>20</v>
      </c>
      <c r="C145" s="11" t="s">
        <v>302</v>
      </c>
      <c r="D145" s="13" t="s">
        <v>633</v>
      </c>
      <c r="E145" s="3"/>
      <c r="F145" s="78"/>
      <c r="G145" s="2"/>
      <c r="H145" s="3" t="s">
        <v>634</v>
      </c>
      <c r="I145" s="2" t="s">
        <v>285</v>
      </c>
      <c r="J145" s="80" t="s">
        <v>625</v>
      </c>
    </row>
    <row r="146" spans="1:10" ht="127.5" x14ac:dyDescent="0.2">
      <c r="A146" s="11" t="s">
        <v>635</v>
      </c>
      <c r="B146" s="11" t="s">
        <v>20</v>
      </c>
      <c r="C146" s="11"/>
      <c r="D146" s="13" t="s">
        <v>636</v>
      </c>
      <c r="E146" s="3"/>
      <c r="F146" s="78"/>
      <c r="G146" s="2"/>
      <c r="H146" s="3" t="s">
        <v>637</v>
      </c>
      <c r="I146" s="2" t="s">
        <v>56</v>
      </c>
      <c r="J146" s="80" t="s">
        <v>625</v>
      </c>
    </row>
    <row r="147" spans="1:10" ht="204" x14ac:dyDescent="0.2">
      <c r="A147" s="11" t="s">
        <v>638</v>
      </c>
      <c r="B147" s="11" t="s">
        <v>20</v>
      </c>
      <c r="C147" s="11"/>
      <c r="D147" s="13" t="s">
        <v>639</v>
      </c>
      <c r="E147" s="3"/>
      <c r="F147" s="78"/>
      <c r="G147" s="2"/>
      <c r="H147" s="3"/>
      <c r="I147" s="2" t="s">
        <v>285</v>
      </c>
      <c r="J147" s="80" t="s">
        <v>625</v>
      </c>
    </row>
    <row r="148" spans="1:10" ht="165.75" x14ac:dyDescent="0.2">
      <c r="A148" s="11">
        <v>146</v>
      </c>
      <c r="B148" s="11" t="s">
        <v>20</v>
      </c>
      <c r="C148" s="11" t="s">
        <v>302</v>
      </c>
      <c r="D148" s="13" t="s">
        <v>640</v>
      </c>
      <c r="E148" s="3"/>
      <c r="F148" s="78"/>
      <c r="G148" s="2"/>
      <c r="H148" s="3" t="s">
        <v>641</v>
      </c>
      <c r="I148" s="2" t="s">
        <v>285</v>
      </c>
      <c r="J148" s="80" t="s">
        <v>625</v>
      </c>
    </row>
    <row r="149" spans="1:10" ht="153" x14ac:dyDescent="0.2">
      <c r="A149" s="11">
        <v>147</v>
      </c>
      <c r="B149" s="11" t="s">
        <v>20</v>
      </c>
      <c r="C149" s="11" t="s">
        <v>302</v>
      </c>
      <c r="D149" s="13" t="s">
        <v>642</v>
      </c>
      <c r="E149" s="3"/>
      <c r="F149" s="78"/>
      <c r="G149" s="2"/>
      <c r="H149" s="3"/>
      <c r="I149" s="2" t="s">
        <v>285</v>
      </c>
      <c r="J149" s="80" t="s">
        <v>625</v>
      </c>
    </row>
    <row r="150" spans="1:10" ht="191.25" x14ac:dyDescent="0.2">
      <c r="A150" s="11">
        <v>148</v>
      </c>
      <c r="B150" s="11" t="s">
        <v>20</v>
      </c>
      <c r="C150" s="11" t="s">
        <v>302</v>
      </c>
      <c r="D150" s="13" t="s">
        <v>643</v>
      </c>
      <c r="E150" s="3"/>
      <c r="F150" s="78"/>
      <c r="G150" s="2"/>
      <c r="H150" s="3" t="s">
        <v>644</v>
      </c>
      <c r="I150" s="2" t="s">
        <v>56</v>
      </c>
      <c r="J150" s="80" t="s">
        <v>625</v>
      </c>
    </row>
    <row r="151" spans="1:10" ht="165.75" x14ac:dyDescent="0.2">
      <c r="A151" s="11">
        <v>149</v>
      </c>
      <c r="B151" s="11" t="s">
        <v>20</v>
      </c>
      <c r="C151" s="11" t="s">
        <v>302</v>
      </c>
      <c r="D151" s="13" t="s">
        <v>645</v>
      </c>
      <c r="E151" s="3"/>
      <c r="F151" s="78"/>
      <c r="G151" s="2"/>
      <c r="H151" s="3"/>
      <c r="I151" s="2" t="s">
        <v>285</v>
      </c>
      <c r="J151" s="80" t="s">
        <v>625</v>
      </c>
    </row>
    <row r="152" spans="1:10" ht="76.5" x14ac:dyDescent="0.2">
      <c r="A152" s="11">
        <v>150</v>
      </c>
      <c r="B152" s="11" t="s">
        <v>20</v>
      </c>
      <c r="C152" s="11" t="s">
        <v>302</v>
      </c>
      <c r="D152" s="13" t="s">
        <v>646</v>
      </c>
      <c r="E152" s="3"/>
      <c r="F152" s="78"/>
      <c r="G152" s="2"/>
      <c r="H152" s="3" t="s">
        <v>647</v>
      </c>
      <c r="I152" s="2" t="s">
        <v>285</v>
      </c>
      <c r="J152" s="80" t="s">
        <v>625</v>
      </c>
    </row>
    <row r="153" spans="1:10" ht="45" x14ac:dyDescent="0.2">
      <c r="A153" s="11">
        <v>151</v>
      </c>
      <c r="B153" s="11" t="s">
        <v>20</v>
      </c>
      <c r="C153" s="11" t="s">
        <v>302</v>
      </c>
      <c r="D153" s="13" t="s">
        <v>648</v>
      </c>
      <c r="E153" s="3"/>
      <c r="F153" s="78"/>
      <c r="G153" s="2"/>
      <c r="H153" s="3"/>
      <c r="I153" s="2" t="s">
        <v>285</v>
      </c>
      <c r="J153" s="80" t="s">
        <v>625</v>
      </c>
    </row>
    <row r="154" spans="1:10" ht="89.25" x14ac:dyDescent="0.2">
      <c r="A154" s="11" t="s">
        <v>649</v>
      </c>
      <c r="B154" s="11" t="s">
        <v>20</v>
      </c>
      <c r="C154" s="11" t="s">
        <v>302</v>
      </c>
      <c r="D154" s="13" t="s">
        <v>650</v>
      </c>
      <c r="E154" s="3"/>
      <c r="F154" s="78"/>
      <c r="G154" s="2"/>
      <c r="H154" s="3" t="s">
        <v>651</v>
      </c>
      <c r="I154" s="2" t="s">
        <v>285</v>
      </c>
      <c r="J154" s="80" t="s">
        <v>625</v>
      </c>
    </row>
    <row r="155" spans="1:10" ht="114.75" x14ac:dyDescent="0.2">
      <c r="A155" s="11">
        <v>153</v>
      </c>
      <c r="B155" s="11" t="s">
        <v>20</v>
      </c>
      <c r="C155" s="11" t="s">
        <v>302</v>
      </c>
      <c r="D155" s="13" t="s">
        <v>652</v>
      </c>
      <c r="E155" s="3"/>
      <c r="F155" s="78"/>
      <c r="G155" s="2"/>
      <c r="H155" s="3"/>
      <c r="I155" s="2" t="s">
        <v>285</v>
      </c>
      <c r="J155" s="80" t="s">
        <v>625</v>
      </c>
    </row>
    <row r="156" spans="1:10" ht="127.5" x14ac:dyDescent="0.2">
      <c r="A156" s="11" t="s">
        <v>653</v>
      </c>
      <c r="B156" s="11" t="s">
        <v>20</v>
      </c>
      <c r="C156" s="11" t="s">
        <v>302</v>
      </c>
      <c r="D156" s="13" t="s">
        <v>654</v>
      </c>
      <c r="E156" s="3"/>
      <c r="F156" s="78"/>
      <c r="G156" s="2"/>
      <c r="H156" s="3"/>
      <c r="I156" s="2" t="s">
        <v>285</v>
      </c>
      <c r="J156" s="80" t="s">
        <v>625</v>
      </c>
    </row>
    <row r="157" spans="1:10" ht="178.5" x14ac:dyDescent="0.2">
      <c r="A157" s="11" t="s">
        <v>655</v>
      </c>
      <c r="B157" s="11" t="s">
        <v>20</v>
      </c>
      <c r="C157" s="11" t="s">
        <v>302</v>
      </c>
      <c r="D157" s="13" t="s">
        <v>656</v>
      </c>
      <c r="E157" s="3"/>
      <c r="F157" s="78"/>
      <c r="G157" s="2"/>
      <c r="H157" s="3"/>
      <c r="I157" s="2" t="s">
        <v>285</v>
      </c>
      <c r="J157" s="80" t="s">
        <v>625</v>
      </c>
    </row>
    <row r="158" spans="1:10" ht="30" x14ac:dyDescent="0.2">
      <c r="A158" s="11" t="s">
        <v>657</v>
      </c>
      <c r="B158" s="11" t="s">
        <v>20</v>
      </c>
      <c r="C158" s="11" t="s">
        <v>286</v>
      </c>
      <c r="D158" s="13" t="s">
        <v>658</v>
      </c>
      <c r="E158" s="3"/>
      <c r="F158" s="78"/>
      <c r="G158" s="2"/>
      <c r="H158" s="3"/>
      <c r="I158" s="2" t="s">
        <v>56</v>
      </c>
      <c r="J158" s="81" t="s">
        <v>659</v>
      </c>
    </row>
    <row r="159" spans="1:10" ht="76.5" x14ac:dyDescent="0.2">
      <c r="A159" s="11" t="s">
        <v>660</v>
      </c>
      <c r="B159" s="11" t="s">
        <v>20</v>
      </c>
      <c r="C159" s="11" t="s">
        <v>278</v>
      </c>
      <c r="D159" s="13" t="s">
        <v>661</v>
      </c>
      <c r="E159" s="3"/>
      <c r="F159" s="78"/>
      <c r="G159" s="2"/>
      <c r="H159" s="3"/>
      <c r="I159" s="2" t="s">
        <v>285</v>
      </c>
      <c r="J159" s="80" t="s">
        <v>625</v>
      </c>
    </row>
    <row r="160" spans="1:10" ht="45" x14ac:dyDescent="0.2">
      <c r="A160" s="11" t="s">
        <v>662</v>
      </c>
      <c r="B160" s="11" t="s">
        <v>20</v>
      </c>
      <c r="C160" s="11" t="s">
        <v>278</v>
      </c>
      <c r="D160" s="13" t="s">
        <v>663</v>
      </c>
      <c r="E160" s="3"/>
      <c r="F160" s="78"/>
      <c r="G160" s="2"/>
      <c r="H160" s="3"/>
      <c r="I160" s="2" t="s">
        <v>285</v>
      </c>
      <c r="J160" s="80" t="s">
        <v>625</v>
      </c>
    </row>
    <row r="161" spans="1:10" ht="114.75" x14ac:dyDescent="0.2">
      <c r="A161" s="11" t="s">
        <v>664</v>
      </c>
      <c r="B161" s="11" t="s">
        <v>20</v>
      </c>
      <c r="C161" s="11" t="s">
        <v>278</v>
      </c>
      <c r="D161" s="13" t="s">
        <v>665</v>
      </c>
      <c r="E161" s="3"/>
      <c r="F161" s="78"/>
      <c r="G161" s="2"/>
      <c r="H161" s="3"/>
      <c r="I161" s="2" t="s">
        <v>285</v>
      </c>
      <c r="J161" s="80" t="s">
        <v>625</v>
      </c>
    </row>
    <row r="162" spans="1:10" ht="114.75" x14ac:dyDescent="0.2">
      <c r="A162" s="11" t="s">
        <v>666</v>
      </c>
      <c r="B162" s="11" t="s">
        <v>20</v>
      </c>
      <c r="C162" s="11" t="s">
        <v>278</v>
      </c>
      <c r="D162" s="13" t="s">
        <v>667</v>
      </c>
      <c r="E162" s="3"/>
      <c r="F162" s="78"/>
      <c r="G162" s="2"/>
      <c r="H162" s="3"/>
      <c r="I162" s="2" t="s">
        <v>285</v>
      </c>
      <c r="J162" s="80" t="s">
        <v>625</v>
      </c>
    </row>
    <row r="163" spans="1:10" ht="51" x14ac:dyDescent="0.2">
      <c r="A163" s="11" t="s">
        <v>668</v>
      </c>
      <c r="B163" s="11" t="s">
        <v>20</v>
      </c>
      <c r="C163" s="11" t="s">
        <v>278</v>
      </c>
      <c r="D163" s="13" t="s">
        <v>669</v>
      </c>
      <c r="E163" s="3"/>
      <c r="F163" s="78"/>
      <c r="G163" s="2"/>
      <c r="H163" s="3"/>
      <c r="I163" s="2" t="s">
        <v>285</v>
      </c>
      <c r="J163" s="80" t="s">
        <v>625</v>
      </c>
    </row>
    <row r="164" spans="1:10" ht="127.5" x14ac:dyDescent="0.2">
      <c r="A164" s="11" t="s">
        <v>670</v>
      </c>
      <c r="B164" s="11" t="s">
        <v>20</v>
      </c>
      <c r="C164" s="11" t="s">
        <v>278</v>
      </c>
      <c r="D164" s="13" t="s">
        <v>671</v>
      </c>
      <c r="E164" s="3"/>
      <c r="F164" s="78"/>
      <c r="G164" s="2"/>
      <c r="H164" s="3" t="s">
        <v>672</v>
      </c>
      <c r="I164" s="2" t="s">
        <v>56</v>
      </c>
      <c r="J164" s="80" t="s">
        <v>625</v>
      </c>
    </row>
    <row r="165" spans="1:10" ht="63.75" x14ac:dyDescent="0.2">
      <c r="A165" s="11" t="s">
        <v>673</v>
      </c>
      <c r="B165" s="11" t="s">
        <v>20</v>
      </c>
      <c r="C165" s="11" t="s">
        <v>278</v>
      </c>
      <c r="D165" s="13" t="s">
        <v>674</v>
      </c>
      <c r="E165" s="3"/>
      <c r="F165" s="78"/>
      <c r="G165" s="2"/>
      <c r="H165" s="3" t="s">
        <v>675</v>
      </c>
      <c r="I165" s="2" t="s">
        <v>285</v>
      </c>
      <c r="J165" s="80" t="s">
        <v>625</v>
      </c>
    </row>
    <row r="166" spans="1:10" ht="242.25" x14ac:dyDescent="0.2">
      <c r="A166" s="11" t="s">
        <v>676</v>
      </c>
      <c r="B166" s="11" t="s">
        <v>20</v>
      </c>
      <c r="C166" s="11" t="s">
        <v>278</v>
      </c>
      <c r="D166" s="13" t="s">
        <v>677</v>
      </c>
      <c r="E166" s="3"/>
      <c r="F166" s="78"/>
      <c r="G166" s="2"/>
      <c r="H166" s="3"/>
      <c r="I166" s="2" t="s">
        <v>285</v>
      </c>
      <c r="J166" s="80" t="s">
        <v>625</v>
      </c>
    </row>
    <row r="167" spans="1:10" ht="45" x14ac:dyDescent="0.2">
      <c r="A167" s="11" t="s">
        <v>678</v>
      </c>
      <c r="B167" s="11" t="s">
        <v>20</v>
      </c>
      <c r="C167" s="11" t="s">
        <v>278</v>
      </c>
      <c r="D167" s="13" t="s">
        <v>679</v>
      </c>
      <c r="E167" s="3"/>
      <c r="F167" s="78"/>
      <c r="G167" s="2"/>
      <c r="H167" s="3"/>
      <c r="I167" s="2" t="s">
        <v>285</v>
      </c>
      <c r="J167" s="80" t="s">
        <v>625</v>
      </c>
    </row>
    <row r="168" spans="1:10" ht="76.5" x14ac:dyDescent="0.2">
      <c r="A168" s="11" t="s">
        <v>680</v>
      </c>
      <c r="B168" s="11" t="s">
        <v>20</v>
      </c>
      <c r="C168" s="11" t="s">
        <v>269</v>
      </c>
      <c r="D168" s="13" t="s">
        <v>681</v>
      </c>
      <c r="E168" s="3"/>
      <c r="F168" s="78"/>
      <c r="G168" s="2"/>
      <c r="H168" s="3" t="s">
        <v>682</v>
      </c>
      <c r="I168" s="2" t="s">
        <v>56</v>
      </c>
      <c r="J168" s="80" t="s">
        <v>625</v>
      </c>
    </row>
    <row r="169" spans="1:10" ht="63.75" x14ac:dyDescent="0.2">
      <c r="A169" s="11" t="s">
        <v>683</v>
      </c>
      <c r="B169" s="11" t="s">
        <v>20</v>
      </c>
      <c r="C169" s="11" t="s">
        <v>269</v>
      </c>
      <c r="D169" s="13" t="s">
        <v>684</v>
      </c>
      <c r="E169" s="3"/>
      <c r="F169" s="78"/>
      <c r="G169" s="2"/>
      <c r="H169" s="3"/>
      <c r="I169" s="2" t="s">
        <v>285</v>
      </c>
      <c r="J169" s="80" t="s">
        <v>625</v>
      </c>
    </row>
    <row r="170" spans="1:10" ht="45" x14ac:dyDescent="0.2">
      <c r="A170" s="11" t="s">
        <v>685</v>
      </c>
      <c r="B170" s="11" t="s">
        <v>20</v>
      </c>
      <c r="C170" s="11" t="s">
        <v>269</v>
      </c>
      <c r="D170" s="13" t="s">
        <v>686</v>
      </c>
      <c r="E170" s="3"/>
      <c r="F170" s="78"/>
      <c r="G170" s="2"/>
      <c r="H170" s="3"/>
      <c r="I170" s="2" t="s">
        <v>285</v>
      </c>
      <c r="J170" s="80" t="s">
        <v>625</v>
      </c>
    </row>
    <row r="171" spans="1:10" ht="229.5" x14ac:dyDescent="0.2">
      <c r="A171" s="11" t="s">
        <v>687</v>
      </c>
      <c r="B171" s="11" t="s">
        <v>20</v>
      </c>
      <c r="C171" s="11" t="s">
        <v>269</v>
      </c>
      <c r="D171" s="13" t="s">
        <v>688</v>
      </c>
      <c r="E171" s="3"/>
      <c r="F171" s="78"/>
      <c r="G171" s="2"/>
      <c r="H171" s="3"/>
      <c r="I171" s="2" t="s">
        <v>285</v>
      </c>
      <c r="J171" s="80" t="s">
        <v>625</v>
      </c>
    </row>
    <row r="172" spans="1:10" ht="89.25" x14ac:dyDescent="0.2">
      <c r="A172" s="11" t="s">
        <v>689</v>
      </c>
      <c r="B172" s="11" t="s">
        <v>20</v>
      </c>
      <c r="C172" s="11" t="s">
        <v>269</v>
      </c>
      <c r="D172" s="13" t="s">
        <v>690</v>
      </c>
      <c r="E172" s="3"/>
      <c r="F172" s="78"/>
      <c r="G172" s="2"/>
      <c r="H172" s="3"/>
      <c r="I172" s="2" t="s">
        <v>285</v>
      </c>
      <c r="J172" s="80" t="s">
        <v>625</v>
      </c>
    </row>
    <row r="173" spans="1:10" ht="114.75" x14ac:dyDescent="0.2">
      <c r="A173" s="11" t="s">
        <v>691</v>
      </c>
      <c r="B173" s="11" t="s">
        <v>20</v>
      </c>
      <c r="C173" s="11" t="s">
        <v>269</v>
      </c>
      <c r="D173" s="13" t="s">
        <v>692</v>
      </c>
      <c r="E173" s="3"/>
      <c r="F173" s="78"/>
      <c r="G173" s="2"/>
      <c r="H173" s="3" t="s">
        <v>693</v>
      </c>
      <c r="I173" s="2" t="s">
        <v>56</v>
      </c>
      <c r="J173" s="80" t="s">
        <v>625</v>
      </c>
    </row>
    <row r="174" spans="1:10" ht="242.25" x14ac:dyDescent="0.2">
      <c r="A174" s="11" t="s">
        <v>694</v>
      </c>
      <c r="B174" s="11" t="s">
        <v>20</v>
      </c>
      <c r="C174" s="11" t="s">
        <v>269</v>
      </c>
      <c r="D174" s="13" t="s">
        <v>695</v>
      </c>
      <c r="E174" s="3"/>
      <c r="F174" s="78"/>
      <c r="G174" s="2"/>
      <c r="H174" s="3"/>
      <c r="I174" s="2" t="s">
        <v>285</v>
      </c>
      <c r="J174" s="80" t="s">
        <v>625</v>
      </c>
    </row>
    <row r="175" spans="1:10" ht="89.25" x14ac:dyDescent="0.2">
      <c r="A175" s="11" t="s">
        <v>696</v>
      </c>
      <c r="B175" s="11" t="s">
        <v>20</v>
      </c>
      <c r="C175" s="11" t="s">
        <v>269</v>
      </c>
      <c r="D175" s="13" t="s">
        <v>697</v>
      </c>
      <c r="E175" s="3"/>
      <c r="F175" s="78"/>
      <c r="G175" s="2"/>
      <c r="H175" s="3"/>
      <c r="I175" s="2" t="s">
        <v>285</v>
      </c>
      <c r="J175" s="80" t="s">
        <v>625</v>
      </c>
    </row>
    <row r="176" spans="1:10" ht="306" x14ac:dyDescent="0.2">
      <c r="A176" s="11" t="s">
        <v>698</v>
      </c>
      <c r="B176" s="11" t="s">
        <v>20</v>
      </c>
      <c r="C176" s="11" t="s">
        <v>269</v>
      </c>
      <c r="D176" s="13" t="s">
        <v>699</v>
      </c>
      <c r="E176" s="3"/>
      <c r="F176" s="78"/>
      <c r="G176" s="2"/>
      <c r="H176" s="3"/>
      <c r="I176" s="2" t="s">
        <v>285</v>
      </c>
      <c r="J176" s="80" t="s">
        <v>625</v>
      </c>
    </row>
    <row r="177" spans="1:10" ht="204" x14ac:dyDescent="0.2">
      <c r="A177" s="11" t="s">
        <v>700</v>
      </c>
      <c r="B177" s="11" t="s">
        <v>20</v>
      </c>
      <c r="C177" s="11" t="s">
        <v>269</v>
      </c>
      <c r="D177" s="13" t="s">
        <v>701</v>
      </c>
      <c r="E177" s="3"/>
      <c r="F177" s="78"/>
      <c r="G177" s="2"/>
      <c r="H177" s="3"/>
      <c r="I177" s="2" t="s">
        <v>285</v>
      </c>
      <c r="J177" s="80" t="s">
        <v>625</v>
      </c>
    </row>
    <row r="178" spans="1:10" ht="255" x14ac:dyDescent="0.2">
      <c r="A178" s="11" t="s">
        <v>702</v>
      </c>
      <c r="B178" s="11" t="s">
        <v>20</v>
      </c>
      <c r="C178" s="11" t="s">
        <v>286</v>
      </c>
      <c r="D178" s="13" t="s">
        <v>703</v>
      </c>
      <c r="E178" s="3"/>
      <c r="F178" s="78"/>
      <c r="G178" s="2"/>
      <c r="H178" s="3" t="s">
        <v>704</v>
      </c>
      <c r="I178" s="2" t="s">
        <v>56</v>
      </c>
      <c r="J178" s="80" t="s">
        <v>625</v>
      </c>
    </row>
    <row r="179" spans="1:10" ht="165.75" x14ac:dyDescent="0.2">
      <c r="A179" s="11" t="s">
        <v>705</v>
      </c>
      <c r="B179" s="11" t="s">
        <v>20</v>
      </c>
      <c r="C179" s="11" t="s">
        <v>286</v>
      </c>
      <c r="D179" s="13" t="s">
        <v>706</v>
      </c>
      <c r="E179" s="3"/>
      <c r="F179" s="78"/>
      <c r="G179" s="2"/>
      <c r="H179" s="3"/>
      <c r="I179" s="2" t="s">
        <v>285</v>
      </c>
      <c r="J179" s="80" t="s">
        <v>625</v>
      </c>
    </row>
    <row r="180" spans="1:10" ht="45" x14ac:dyDescent="0.2">
      <c r="A180" s="11" t="s">
        <v>707</v>
      </c>
      <c r="B180" s="11" t="s">
        <v>20</v>
      </c>
      <c r="C180" s="11" t="s">
        <v>286</v>
      </c>
      <c r="D180" s="13" t="s">
        <v>708</v>
      </c>
      <c r="E180" s="3"/>
      <c r="F180" s="78"/>
      <c r="G180" s="2"/>
      <c r="H180" s="3"/>
      <c r="I180" s="2" t="s">
        <v>285</v>
      </c>
      <c r="J180" s="80" t="s">
        <v>625</v>
      </c>
    </row>
    <row r="181" spans="1:10" ht="45" x14ac:dyDescent="0.2">
      <c r="A181" s="11" t="s">
        <v>709</v>
      </c>
      <c r="B181" s="11" t="s">
        <v>20</v>
      </c>
      <c r="C181" s="11" t="s">
        <v>286</v>
      </c>
      <c r="D181" s="13" t="s">
        <v>710</v>
      </c>
      <c r="E181" s="3"/>
      <c r="F181" s="78"/>
      <c r="G181" s="2"/>
      <c r="H181" s="3"/>
      <c r="I181" s="2" t="s">
        <v>285</v>
      </c>
      <c r="J181" s="80" t="s">
        <v>625</v>
      </c>
    </row>
    <row r="182" spans="1:10" ht="127.5" x14ac:dyDescent="0.2">
      <c r="A182" s="11" t="s">
        <v>711</v>
      </c>
      <c r="B182" s="11" t="s">
        <v>20</v>
      </c>
      <c r="C182" s="11" t="s">
        <v>286</v>
      </c>
      <c r="D182" s="13" t="s">
        <v>712</v>
      </c>
      <c r="E182" s="3"/>
      <c r="F182" s="78"/>
      <c r="G182" s="2"/>
      <c r="H182" s="3" t="s">
        <v>713</v>
      </c>
      <c r="I182" s="2" t="s">
        <v>56</v>
      </c>
      <c r="J182" s="80" t="s">
        <v>625</v>
      </c>
    </row>
    <row r="183" spans="1:10" ht="216.75" x14ac:dyDescent="0.2">
      <c r="A183" s="11" t="s">
        <v>714</v>
      </c>
      <c r="B183" s="11" t="s">
        <v>20</v>
      </c>
      <c r="C183" s="11" t="s">
        <v>286</v>
      </c>
      <c r="D183" s="13" t="s">
        <v>715</v>
      </c>
      <c r="E183" s="3"/>
      <c r="F183" s="78"/>
      <c r="G183" s="2"/>
      <c r="H183" s="3"/>
      <c r="I183" s="2" t="s">
        <v>285</v>
      </c>
      <c r="J183" s="80" t="s">
        <v>625</v>
      </c>
    </row>
    <row r="184" spans="1:10" ht="76.5" x14ac:dyDescent="0.2">
      <c r="A184" s="11" t="s">
        <v>716</v>
      </c>
      <c r="B184" s="11" t="s">
        <v>20</v>
      </c>
      <c r="C184" s="11" t="s">
        <v>286</v>
      </c>
      <c r="D184" s="13" t="s">
        <v>717</v>
      </c>
      <c r="E184" s="3"/>
      <c r="F184" s="78"/>
      <c r="G184" s="2"/>
      <c r="H184" s="3"/>
      <c r="I184" s="2" t="s">
        <v>285</v>
      </c>
      <c r="J184" s="80" t="s">
        <v>625</v>
      </c>
    </row>
    <row r="185" spans="1:10" ht="45" x14ac:dyDescent="0.2">
      <c r="A185" s="11" t="s">
        <v>718</v>
      </c>
      <c r="B185" s="11" t="s">
        <v>20</v>
      </c>
      <c r="C185" s="11" t="s">
        <v>286</v>
      </c>
      <c r="D185" s="13" t="s">
        <v>719</v>
      </c>
      <c r="E185" s="3"/>
      <c r="F185" s="78"/>
      <c r="G185" s="2"/>
      <c r="H185" s="3"/>
      <c r="I185" s="2" t="s">
        <v>285</v>
      </c>
      <c r="J185" s="80" t="s">
        <v>625</v>
      </c>
    </row>
    <row r="186" spans="1:10" ht="45" x14ac:dyDescent="0.2">
      <c r="A186" s="11" t="s">
        <v>720</v>
      </c>
      <c r="B186" s="11" t="s">
        <v>20</v>
      </c>
      <c r="C186" s="11" t="s">
        <v>286</v>
      </c>
      <c r="D186" s="13" t="s">
        <v>721</v>
      </c>
      <c r="E186" s="3"/>
      <c r="F186" s="78"/>
      <c r="G186" s="2"/>
      <c r="H186" s="3"/>
      <c r="I186" s="2" t="s">
        <v>285</v>
      </c>
      <c r="J186" s="80" t="s">
        <v>625</v>
      </c>
    </row>
    <row r="187" spans="1:10" ht="45" x14ac:dyDescent="0.2">
      <c r="A187" s="11" t="s">
        <v>722</v>
      </c>
      <c r="B187" s="11" t="s">
        <v>20</v>
      </c>
      <c r="C187" s="11" t="s">
        <v>286</v>
      </c>
      <c r="D187" s="13" t="s">
        <v>723</v>
      </c>
      <c r="E187" s="3"/>
      <c r="F187" s="78"/>
      <c r="G187" s="2"/>
      <c r="H187" s="3"/>
      <c r="I187" s="2" t="s">
        <v>285</v>
      </c>
      <c r="J187" s="80" t="s">
        <v>625</v>
      </c>
    </row>
    <row r="188" spans="1:10" ht="63.75" x14ac:dyDescent="0.2">
      <c r="A188" s="11" t="s">
        <v>724</v>
      </c>
      <c r="B188" s="11" t="s">
        <v>20</v>
      </c>
      <c r="C188" s="11" t="s">
        <v>286</v>
      </c>
      <c r="D188" s="13" t="s">
        <v>725</v>
      </c>
      <c r="E188" s="3"/>
      <c r="F188" s="78"/>
      <c r="G188" s="2"/>
      <c r="H188" s="3"/>
      <c r="I188" s="2" t="s">
        <v>285</v>
      </c>
      <c r="J188" s="80" t="s">
        <v>625</v>
      </c>
    </row>
    <row r="189" spans="1:10" ht="45" x14ac:dyDescent="0.2">
      <c r="A189" s="11" t="s">
        <v>726</v>
      </c>
      <c r="B189" s="11" t="s">
        <v>20</v>
      </c>
      <c r="C189" s="11" t="s">
        <v>286</v>
      </c>
      <c r="D189" s="13" t="s">
        <v>727</v>
      </c>
      <c r="E189" s="3"/>
      <c r="F189" s="78"/>
      <c r="G189" s="2"/>
      <c r="H189" s="3"/>
      <c r="I189" s="2" t="s">
        <v>285</v>
      </c>
      <c r="J189" s="80" t="s">
        <v>625</v>
      </c>
    </row>
    <row r="190" spans="1:10" ht="165.75" x14ac:dyDescent="0.2">
      <c r="A190" s="11" t="s">
        <v>728</v>
      </c>
      <c r="B190" s="11" t="s">
        <v>20</v>
      </c>
      <c r="C190" s="11" t="s">
        <v>286</v>
      </c>
      <c r="D190" s="13" t="s">
        <v>729</v>
      </c>
      <c r="E190" s="3"/>
      <c r="F190" s="78"/>
      <c r="G190" s="2"/>
      <c r="H190" s="3" t="s">
        <v>730</v>
      </c>
      <c r="I190" s="2" t="s">
        <v>56</v>
      </c>
      <c r="J190" s="81" t="s">
        <v>659</v>
      </c>
    </row>
    <row r="191" spans="1:10" ht="409.5" x14ac:dyDescent="0.2">
      <c r="A191" s="11" t="s">
        <v>731</v>
      </c>
      <c r="B191" s="11" t="s">
        <v>20</v>
      </c>
      <c r="C191" s="11" t="s">
        <v>286</v>
      </c>
      <c r="D191" s="13" t="s">
        <v>732</v>
      </c>
      <c r="E191" s="3"/>
      <c r="F191" s="78"/>
      <c r="G191" s="2"/>
      <c r="H191" s="3"/>
      <c r="I191" s="2" t="s">
        <v>285</v>
      </c>
      <c r="J191" s="80" t="s">
        <v>625</v>
      </c>
    </row>
    <row r="192" spans="1:10" ht="280.5" x14ac:dyDescent="0.2">
      <c r="A192" s="11" t="s">
        <v>733</v>
      </c>
      <c r="B192" s="11" t="s">
        <v>20</v>
      </c>
      <c r="C192" s="11" t="s">
        <v>286</v>
      </c>
      <c r="D192" s="13" t="s">
        <v>734</v>
      </c>
      <c r="E192" s="3"/>
      <c r="F192" s="78"/>
      <c r="G192" s="2"/>
      <c r="H192" s="3"/>
      <c r="I192" s="2" t="s">
        <v>285</v>
      </c>
      <c r="J192" s="80" t="s">
        <v>625</v>
      </c>
    </row>
    <row r="193" spans="1:10" ht="45" x14ac:dyDescent="0.2">
      <c r="A193" s="11" t="s">
        <v>735</v>
      </c>
      <c r="B193" s="11" t="s">
        <v>20</v>
      </c>
      <c r="C193" s="11" t="s">
        <v>286</v>
      </c>
      <c r="D193" s="13" t="s">
        <v>736</v>
      </c>
      <c r="E193" s="3"/>
      <c r="F193" s="78"/>
      <c r="G193" s="2"/>
      <c r="H193" s="3"/>
      <c r="I193" s="2" t="s">
        <v>285</v>
      </c>
      <c r="J193" s="80" t="s">
        <v>625</v>
      </c>
    </row>
    <row r="194" spans="1:10" ht="45" x14ac:dyDescent="0.2">
      <c r="A194" s="11" t="s">
        <v>737</v>
      </c>
      <c r="B194" s="11" t="s">
        <v>20</v>
      </c>
      <c r="C194" s="11" t="s">
        <v>286</v>
      </c>
      <c r="D194" s="13" t="s">
        <v>738</v>
      </c>
      <c r="E194" s="3"/>
      <c r="F194" s="78"/>
      <c r="G194" s="2"/>
      <c r="H194" s="3"/>
      <c r="I194" s="2" t="s">
        <v>285</v>
      </c>
      <c r="J194" s="80" t="s">
        <v>625</v>
      </c>
    </row>
    <row r="195" spans="1:10" ht="178.5" x14ac:dyDescent="0.2">
      <c r="A195" s="11" t="s">
        <v>739</v>
      </c>
      <c r="B195" s="11" t="s">
        <v>20</v>
      </c>
      <c r="C195" s="11" t="s">
        <v>286</v>
      </c>
      <c r="D195" s="13" t="s">
        <v>740</v>
      </c>
      <c r="E195" s="3"/>
      <c r="F195" s="78"/>
      <c r="G195" s="2"/>
      <c r="H195" s="3"/>
      <c r="I195" s="2" t="s">
        <v>285</v>
      </c>
      <c r="J195" s="80" t="s">
        <v>625</v>
      </c>
    </row>
    <row r="196" spans="1:10" ht="140.25" x14ac:dyDescent="0.2">
      <c r="A196" s="11" t="s">
        <v>741</v>
      </c>
      <c r="B196" s="11" t="s">
        <v>20</v>
      </c>
      <c r="C196" s="11" t="s">
        <v>286</v>
      </c>
      <c r="D196" s="13" t="s">
        <v>742</v>
      </c>
      <c r="E196" s="3"/>
      <c r="F196" s="78"/>
      <c r="G196" s="2"/>
      <c r="H196" s="3" t="s">
        <v>743</v>
      </c>
      <c r="I196" s="2" t="s">
        <v>56</v>
      </c>
      <c r="J196" s="80" t="s">
        <v>625</v>
      </c>
    </row>
    <row r="197" spans="1:10" ht="267.75" x14ac:dyDescent="0.2">
      <c r="A197" s="11" t="s">
        <v>744</v>
      </c>
      <c r="B197" s="11" t="s">
        <v>20</v>
      </c>
      <c r="C197" s="11" t="s">
        <v>286</v>
      </c>
      <c r="D197" s="13" t="s">
        <v>745</v>
      </c>
      <c r="E197" s="3"/>
      <c r="F197" s="78"/>
      <c r="G197" s="2"/>
      <c r="H197" s="3"/>
      <c r="I197" s="2" t="s">
        <v>285</v>
      </c>
      <c r="J197" s="80" t="s">
        <v>625</v>
      </c>
    </row>
    <row r="198" spans="1:10" ht="76.5" x14ac:dyDescent="0.2">
      <c r="A198" s="11" t="s">
        <v>746</v>
      </c>
      <c r="B198" s="11" t="s">
        <v>20</v>
      </c>
      <c r="C198" s="11" t="s">
        <v>286</v>
      </c>
      <c r="D198" s="13" t="s">
        <v>747</v>
      </c>
      <c r="E198" s="3"/>
      <c r="F198" s="78"/>
      <c r="G198" s="2"/>
      <c r="H198" s="3"/>
      <c r="I198" s="2" t="s">
        <v>285</v>
      </c>
      <c r="J198" s="80" t="s">
        <v>625</v>
      </c>
    </row>
    <row r="199" spans="1:10" ht="51" x14ac:dyDescent="0.2">
      <c r="A199" s="11" t="s">
        <v>748</v>
      </c>
      <c r="B199" s="11" t="s">
        <v>20</v>
      </c>
      <c r="C199" s="11" t="s">
        <v>286</v>
      </c>
      <c r="D199" s="13" t="s">
        <v>749</v>
      </c>
      <c r="E199" s="3"/>
      <c r="F199" s="78"/>
      <c r="G199" s="2"/>
      <c r="H199" s="3" t="s">
        <v>750</v>
      </c>
      <c r="I199" s="2" t="s">
        <v>56</v>
      </c>
      <c r="J199" s="80" t="s">
        <v>625</v>
      </c>
    </row>
    <row r="200" spans="1:10" ht="153" x14ac:dyDescent="0.2">
      <c r="A200" s="11" t="s">
        <v>751</v>
      </c>
      <c r="B200" s="11" t="s">
        <v>20</v>
      </c>
      <c r="C200" s="11" t="s">
        <v>286</v>
      </c>
      <c r="D200" s="13" t="s">
        <v>752</v>
      </c>
      <c r="E200" s="3"/>
      <c r="F200" s="78"/>
      <c r="G200" s="2"/>
      <c r="H200" s="3"/>
      <c r="I200" s="2" t="s">
        <v>285</v>
      </c>
      <c r="J200" s="80" t="s">
        <v>625</v>
      </c>
    </row>
    <row r="201" spans="1:10" ht="140.25" x14ac:dyDescent="0.2">
      <c r="A201" s="11" t="s">
        <v>753</v>
      </c>
      <c r="B201" s="11" t="s">
        <v>20</v>
      </c>
      <c r="C201" s="11" t="s">
        <v>286</v>
      </c>
      <c r="D201" s="13" t="s">
        <v>754</v>
      </c>
      <c r="E201" s="3"/>
      <c r="F201" s="78"/>
      <c r="G201" s="2"/>
      <c r="H201" s="3"/>
      <c r="I201" s="2" t="s">
        <v>285</v>
      </c>
      <c r="J201" s="80" t="s">
        <v>625</v>
      </c>
    </row>
    <row r="202" spans="1:10" ht="127.5" x14ac:dyDescent="0.2">
      <c r="A202" s="11" t="s">
        <v>755</v>
      </c>
      <c r="B202" s="11" t="s">
        <v>20</v>
      </c>
      <c r="C202" s="11" t="s">
        <v>286</v>
      </c>
      <c r="D202" s="13" t="s">
        <v>756</v>
      </c>
      <c r="E202" s="3"/>
      <c r="F202" s="78"/>
      <c r="G202" s="2"/>
      <c r="H202" s="3"/>
      <c r="I202" s="2" t="s">
        <v>285</v>
      </c>
      <c r="J202" s="80" t="s">
        <v>625</v>
      </c>
    </row>
    <row r="203" spans="1:10" ht="114.75" x14ac:dyDescent="0.2">
      <c r="A203" s="11" t="s">
        <v>757</v>
      </c>
      <c r="B203" s="11" t="s">
        <v>20</v>
      </c>
      <c r="C203" s="11" t="s">
        <v>286</v>
      </c>
      <c r="D203" s="13" t="s">
        <v>758</v>
      </c>
      <c r="E203" s="3"/>
      <c r="F203" s="78"/>
      <c r="G203" s="2"/>
      <c r="H203" s="3"/>
      <c r="I203" s="2" t="s">
        <v>285</v>
      </c>
      <c r="J203" s="80" t="s">
        <v>625</v>
      </c>
    </row>
    <row r="204" spans="1:10" ht="153" x14ac:dyDescent="0.2">
      <c r="A204" s="11" t="s">
        <v>759</v>
      </c>
      <c r="B204" s="11" t="s">
        <v>20</v>
      </c>
      <c r="C204" s="11" t="s">
        <v>286</v>
      </c>
      <c r="D204" s="13" t="s">
        <v>760</v>
      </c>
      <c r="E204" s="3"/>
      <c r="F204" s="78"/>
      <c r="G204" s="2"/>
      <c r="H204" s="3"/>
      <c r="I204" s="2" t="s">
        <v>285</v>
      </c>
      <c r="J204" s="80" t="s">
        <v>625</v>
      </c>
    </row>
    <row r="205" spans="1:10" ht="114.75" x14ac:dyDescent="0.2">
      <c r="A205" s="11" t="s">
        <v>761</v>
      </c>
      <c r="B205" s="11" t="s">
        <v>20</v>
      </c>
      <c r="C205" s="11" t="s">
        <v>286</v>
      </c>
      <c r="D205" s="13" t="s">
        <v>762</v>
      </c>
      <c r="E205" s="3"/>
      <c r="F205" s="78"/>
      <c r="G205" s="2"/>
      <c r="H205" s="3"/>
      <c r="I205" s="2" t="s">
        <v>285</v>
      </c>
      <c r="J205" s="80" t="s">
        <v>625</v>
      </c>
    </row>
    <row r="206" spans="1:10" ht="51" x14ac:dyDescent="0.2">
      <c r="A206" s="11" t="s">
        <v>763</v>
      </c>
      <c r="B206" s="11" t="s">
        <v>20</v>
      </c>
      <c r="C206" s="11" t="s">
        <v>286</v>
      </c>
      <c r="D206" s="13" t="s">
        <v>764</v>
      </c>
      <c r="E206" s="3"/>
      <c r="F206" s="78"/>
      <c r="G206" s="2"/>
      <c r="H206" s="3"/>
      <c r="I206" s="2" t="s">
        <v>285</v>
      </c>
      <c r="J206" s="80" t="s">
        <v>625</v>
      </c>
    </row>
    <row r="207" spans="1:10" ht="114.75" x14ac:dyDescent="0.2">
      <c r="A207" s="11" t="s">
        <v>765</v>
      </c>
      <c r="B207" s="11" t="s">
        <v>20</v>
      </c>
      <c r="C207" s="11" t="s">
        <v>286</v>
      </c>
      <c r="D207" s="13" t="s">
        <v>766</v>
      </c>
      <c r="E207" s="3"/>
      <c r="F207" s="78"/>
      <c r="G207" s="2"/>
      <c r="H207" s="3"/>
      <c r="I207" s="2" t="s">
        <v>285</v>
      </c>
      <c r="J207" s="80" t="s">
        <v>625</v>
      </c>
    </row>
    <row r="208" spans="1:10" ht="45" x14ac:dyDescent="0.2">
      <c r="A208" s="11" t="s">
        <v>767</v>
      </c>
      <c r="B208" s="11" t="s">
        <v>20</v>
      </c>
      <c r="C208" s="11" t="s">
        <v>286</v>
      </c>
      <c r="D208" s="13" t="s">
        <v>768</v>
      </c>
      <c r="E208" s="3"/>
      <c r="F208" s="78"/>
      <c r="G208" s="2"/>
      <c r="H208" s="3"/>
      <c r="I208" s="2" t="s">
        <v>285</v>
      </c>
      <c r="J208" s="80" t="s">
        <v>625</v>
      </c>
    </row>
    <row r="209" spans="1:10" ht="409.5" x14ac:dyDescent="0.2">
      <c r="A209" s="11" t="s">
        <v>769</v>
      </c>
      <c r="B209" s="11" t="s">
        <v>20</v>
      </c>
      <c r="C209" s="11" t="s">
        <v>286</v>
      </c>
      <c r="D209" s="13" t="s">
        <v>770</v>
      </c>
      <c r="E209" s="3"/>
      <c r="F209" s="78"/>
      <c r="G209" s="2"/>
      <c r="H209" s="3" t="s">
        <v>771</v>
      </c>
      <c r="I209" s="2" t="s">
        <v>56</v>
      </c>
      <c r="J209" s="80" t="s">
        <v>625</v>
      </c>
    </row>
    <row r="210" spans="1:10" ht="63.75" x14ac:dyDescent="0.2">
      <c r="A210" s="11" t="s">
        <v>772</v>
      </c>
      <c r="B210" s="11" t="s">
        <v>20</v>
      </c>
      <c r="C210" s="11" t="s">
        <v>286</v>
      </c>
      <c r="D210" s="13" t="s">
        <v>773</v>
      </c>
      <c r="E210" s="3"/>
      <c r="F210" s="78"/>
      <c r="G210" s="2"/>
      <c r="H210" s="3" t="s">
        <v>774</v>
      </c>
      <c r="I210" s="2" t="s">
        <v>285</v>
      </c>
      <c r="J210" s="80" t="s">
        <v>625</v>
      </c>
    </row>
    <row r="211" spans="1:10" ht="89.25" x14ac:dyDescent="0.2">
      <c r="A211" s="11" t="s">
        <v>775</v>
      </c>
      <c r="B211" s="11" t="s">
        <v>20</v>
      </c>
      <c r="C211" s="11" t="s">
        <v>286</v>
      </c>
      <c r="D211" s="13" t="s">
        <v>776</v>
      </c>
      <c r="E211" s="3"/>
      <c r="F211" s="78"/>
      <c r="G211" s="2"/>
      <c r="H211" s="3"/>
      <c r="I211" s="2" t="s">
        <v>285</v>
      </c>
      <c r="J211" s="80" t="s">
        <v>625</v>
      </c>
    </row>
    <row r="212" spans="1:10" ht="45" x14ac:dyDescent="0.2">
      <c r="A212" s="11" t="s">
        <v>777</v>
      </c>
      <c r="B212" s="11" t="s">
        <v>20</v>
      </c>
      <c r="C212" s="11" t="s">
        <v>380</v>
      </c>
      <c r="D212" s="13" t="s">
        <v>778</v>
      </c>
      <c r="E212" s="3"/>
      <c r="F212" s="78"/>
      <c r="G212" s="2"/>
      <c r="H212" s="3"/>
      <c r="I212" s="2" t="s">
        <v>285</v>
      </c>
      <c r="J212" s="80" t="s">
        <v>625</v>
      </c>
    </row>
    <row r="213" spans="1:10" ht="63.75" x14ac:dyDescent="0.2">
      <c r="A213" s="11" t="s">
        <v>779</v>
      </c>
      <c r="B213" s="11" t="s">
        <v>20</v>
      </c>
      <c r="C213" s="11" t="s">
        <v>380</v>
      </c>
      <c r="D213" s="13" t="s">
        <v>780</v>
      </c>
      <c r="E213" s="3"/>
      <c r="F213" s="78"/>
      <c r="G213" s="2"/>
      <c r="H213" s="3"/>
      <c r="I213" s="2" t="s">
        <v>285</v>
      </c>
      <c r="J213" s="80" t="s">
        <v>625</v>
      </c>
    </row>
    <row r="214" spans="1:10" ht="30" x14ac:dyDescent="0.2">
      <c r="A214" s="11" t="s">
        <v>781</v>
      </c>
      <c r="B214" s="11" t="s">
        <v>20</v>
      </c>
      <c r="C214" s="11" t="s">
        <v>380</v>
      </c>
      <c r="D214" s="13" t="s">
        <v>782</v>
      </c>
      <c r="E214" s="3"/>
      <c r="F214" s="78"/>
      <c r="G214" s="2"/>
      <c r="H214" s="3" t="s">
        <v>783</v>
      </c>
      <c r="I214" s="2" t="s">
        <v>56</v>
      </c>
      <c r="J214" s="81" t="s">
        <v>659</v>
      </c>
    </row>
    <row r="215" spans="1:10" ht="30" x14ac:dyDescent="0.2">
      <c r="A215" s="11" t="s">
        <v>784</v>
      </c>
      <c r="B215" s="11" t="s">
        <v>20</v>
      </c>
      <c r="C215" s="11" t="s">
        <v>785</v>
      </c>
      <c r="D215" s="13" t="s">
        <v>786</v>
      </c>
      <c r="E215" s="3"/>
      <c r="F215" s="78"/>
      <c r="G215" s="2"/>
      <c r="H215" s="3" t="s">
        <v>787</v>
      </c>
      <c r="I215" s="2" t="s">
        <v>56</v>
      </c>
      <c r="J215" s="81" t="s">
        <v>659</v>
      </c>
    </row>
    <row r="216" spans="1:10" x14ac:dyDescent="0.2">
      <c r="A216" s="11" t="s">
        <v>788</v>
      </c>
      <c r="B216" s="11"/>
      <c r="C216" s="11"/>
      <c r="D216" s="13"/>
      <c r="E216" s="3"/>
      <c r="F216" s="78"/>
      <c r="G216" s="2"/>
      <c r="H216" s="3"/>
      <c r="I216" s="2"/>
      <c r="J216" s="81"/>
    </row>
    <row r="217" spans="1:10" x14ac:dyDescent="0.2">
      <c r="A217" s="11" t="s">
        <v>789</v>
      </c>
      <c r="B217" s="11"/>
      <c r="C217" s="11"/>
      <c r="D217" s="13"/>
      <c r="E217" s="3"/>
      <c r="F217" s="78"/>
      <c r="G217" s="2"/>
      <c r="H217" s="3"/>
      <c r="I217" s="2"/>
      <c r="J217" s="81"/>
    </row>
    <row r="218" spans="1:10" x14ac:dyDescent="0.2">
      <c r="A218" s="11" t="s">
        <v>790</v>
      </c>
      <c r="B218" s="11"/>
      <c r="C218" s="11"/>
      <c r="D218" s="13"/>
      <c r="E218" s="3"/>
      <c r="F218" s="78"/>
      <c r="G218" s="2"/>
      <c r="H218" s="3"/>
      <c r="I218" s="2"/>
      <c r="J218" s="81"/>
    </row>
    <row r="219" spans="1:10" x14ac:dyDescent="0.2">
      <c r="A219" s="11" t="s">
        <v>791</v>
      </c>
      <c r="B219" s="11"/>
      <c r="C219" s="11"/>
      <c r="D219" s="13"/>
      <c r="E219" s="3"/>
      <c r="F219" s="78"/>
      <c r="G219" s="2"/>
      <c r="H219" s="3"/>
      <c r="I219" s="2"/>
      <c r="J219" s="81"/>
    </row>
    <row r="220" spans="1:10" x14ac:dyDescent="0.2">
      <c r="A220" s="11" t="s">
        <v>792</v>
      </c>
      <c r="B220" s="11"/>
      <c r="C220" s="11"/>
      <c r="D220" s="13"/>
      <c r="E220" s="3"/>
      <c r="F220" s="78"/>
      <c r="G220" s="2"/>
      <c r="H220" s="3"/>
      <c r="I220" s="2"/>
      <c r="J220" s="81"/>
    </row>
    <row r="221" spans="1:10" x14ac:dyDescent="0.2">
      <c r="A221" s="11" t="s">
        <v>793</v>
      </c>
      <c r="B221" s="11"/>
      <c r="C221" s="11"/>
      <c r="D221" s="13"/>
      <c r="E221" s="3"/>
      <c r="F221" s="78"/>
      <c r="G221" s="2"/>
      <c r="H221" s="3"/>
      <c r="I221" s="2"/>
      <c r="J221" s="81"/>
    </row>
    <row r="222" spans="1:10" x14ac:dyDescent="0.2">
      <c r="A222" s="11" t="s">
        <v>794</v>
      </c>
      <c r="B222" s="11"/>
      <c r="C222" s="11"/>
      <c r="D222" s="13"/>
      <c r="E222" s="3"/>
      <c r="F222" s="78"/>
      <c r="G222" s="2"/>
      <c r="H222" s="3"/>
      <c r="I222" s="2"/>
      <c r="J222" s="81"/>
    </row>
    <row r="223" spans="1:10" x14ac:dyDescent="0.2">
      <c r="A223" s="11" t="s">
        <v>795</v>
      </c>
      <c r="B223" s="11"/>
      <c r="C223" s="11"/>
      <c r="D223" s="13"/>
      <c r="E223" s="3"/>
      <c r="F223" s="78"/>
      <c r="G223" s="2"/>
      <c r="H223" s="3"/>
      <c r="I223" s="2"/>
      <c r="J223" s="81"/>
    </row>
    <row r="224" spans="1:10" x14ac:dyDescent="0.2">
      <c r="A224" s="11" t="s">
        <v>796</v>
      </c>
      <c r="B224" s="11"/>
      <c r="C224" s="11"/>
      <c r="D224" s="13"/>
      <c r="E224" s="3"/>
      <c r="F224" s="78"/>
      <c r="G224" s="2"/>
      <c r="H224" s="3"/>
      <c r="I224" s="2"/>
      <c r="J224" s="81"/>
    </row>
    <row r="225" spans="1:10" x14ac:dyDescent="0.2">
      <c r="A225" s="11" t="s">
        <v>797</v>
      </c>
      <c r="B225" s="11"/>
      <c r="C225" s="11"/>
      <c r="D225" s="13"/>
      <c r="E225" s="3"/>
      <c r="F225" s="78"/>
      <c r="G225" s="2"/>
      <c r="H225" s="3"/>
      <c r="I225" s="2"/>
      <c r="J225" s="81"/>
    </row>
    <row r="226" spans="1:10" x14ac:dyDescent="0.2">
      <c r="A226" s="11" t="s">
        <v>798</v>
      </c>
      <c r="B226" s="11"/>
      <c r="C226" s="11"/>
      <c r="D226" s="13"/>
      <c r="E226" s="3"/>
      <c r="F226" s="78"/>
      <c r="G226" s="2"/>
      <c r="H226" s="3"/>
      <c r="I226" s="2"/>
      <c r="J226" s="81"/>
    </row>
    <row r="227" spans="1:10" x14ac:dyDescent="0.2">
      <c r="A227" s="11" t="s">
        <v>799</v>
      </c>
      <c r="B227" s="11"/>
      <c r="C227" s="11"/>
      <c r="D227" s="13"/>
      <c r="E227" s="3"/>
      <c r="F227" s="78"/>
      <c r="G227" s="2"/>
      <c r="H227" s="3"/>
      <c r="I227" s="2"/>
      <c r="J227" s="81"/>
    </row>
    <row r="228" spans="1:10" x14ac:dyDescent="0.2">
      <c r="A228" s="11" t="s">
        <v>800</v>
      </c>
      <c r="B228" s="11"/>
      <c r="C228" s="11"/>
      <c r="D228" s="13"/>
      <c r="E228" s="3"/>
      <c r="F228" s="78"/>
      <c r="G228" s="2"/>
      <c r="H228" s="3"/>
      <c r="I228" s="2"/>
      <c r="J228" s="81"/>
    </row>
    <row r="229" spans="1:10" x14ac:dyDescent="0.2">
      <c r="A229" s="11" t="s">
        <v>801</v>
      </c>
      <c r="B229" s="11"/>
      <c r="C229" s="11"/>
      <c r="D229" s="13"/>
      <c r="E229" s="3"/>
      <c r="F229" s="78"/>
      <c r="G229" s="2"/>
      <c r="H229" s="3"/>
      <c r="I229" s="2"/>
      <c r="J229" s="81"/>
    </row>
    <row r="230" spans="1:10" x14ac:dyDescent="0.2">
      <c r="A230" s="11" t="s">
        <v>802</v>
      </c>
      <c r="B230" s="11"/>
      <c r="C230" s="11"/>
      <c r="D230" s="13"/>
      <c r="E230" s="3"/>
      <c r="F230" s="78"/>
      <c r="G230" s="2"/>
      <c r="H230" s="3"/>
      <c r="I230" s="2"/>
      <c r="J230" s="81"/>
    </row>
    <row r="231" spans="1:10" x14ac:dyDescent="0.2">
      <c r="A231" s="11" t="s">
        <v>803</v>
      </c>
      <c r="B231" s="11"/>
      <c r="C231" s="11"/>
      <c r="D231" s="13"/>
      <c r="E231" s="3"/>
      <c r="F231" s="78"/>
      <c r="G231" s="2"/>
      <c r="H231" s="3"/>
      <c r="I231" s="2"/>
      <c r="J231" s="81"/>
    </row>
    <row r="232" spans="1:10" x14ac:dyDescent="0.2">
      <c r="A232" s="11" t="s">
        <v>804</v>
      </c>
      <c r="B232" s="11"/>
      <c r="C232" s="11"/>
      <c r="D232" s="13"/>
      <c r="E232" s="3"/>
      <c r="F232" s="78"/>
      <c r="G232" s="2"/>
      <c r="H232" s="3"/>
      <c r="I232" s="2"/>
      <c r="J232" s="81"/>
    </row>
    <row r="233" spans="1:10" x14ac:dyDescent="0.2">
      <c r="A233" s="11" t="s">
        <v>805</v>
      </c>
      <c r="B233" s="11"/>
      <c r="C233" s="11"/>
      <c r="D233" s="13"/>
      <c r="E233" s="3"/>
      <c r="F233" s="78"/>
      <c r="G233" s="2"/>
      <c r="H233" s="3"/>
      <c r="I233" s="2"/>
      <c r="J233" s="81"/>
    </row>
    <row r="234" spans="1:10" x14ac:dyDescent="0.2">
      <c r="A234" s="11" t="s">
        <v>806</v>
      </c>
      <c r="B234" s="11"/>
      <c r="C234" s="11"/>
      <c r="D234" s="13"/>
      <c r="E234" s="3"/>
      <c r="F234" s="78"/>
      <c r="G234" s="2"/>
      <c r="H234" s="3"/>
      <c r="I234" s="2"/>
      <c r="J234" s="81"/>
    </row>
    <row r="235" spans="1:10" x14ac:dyDescent="0.2">
      <c r="A235" s="11" t="s">
        <v>807</v>
      </c>
      <c r="B235" s="11"/>
      <c r="C235" s="11"/>
      <c r="D235" s="13"/>
      <c r="E235" s="3"/>
      <c r="F235" s="78"/>
      <c r="G235" s="2"/>
      <c r="H235" s="3"/>
      <c r="I235" s="2"/>
      <c r="J235" s="81"/>
    </row>
    <row r="236" spans="1:10" x14ac:dyDescent="0.2">
      <c r="A236" s="11" t="s">
        <v>808</v>
      </c>
      <c r="B236" s="11"/>
      <c r="C236" s="11"/>
      <c r="D236" s="13"/>
      <c r="E236" s="3"/>
      <c r="F236" s="78"/>
      <c r="G236" s="2"/>
      <c r="H236" s="3"/>
      <c r="I236" s="2"/>
      <c r="J236" s="81"/>
    </row>
    <row r="237" spans="1:10" x14ac:dyDescent="0.2">
      <c r="A237" s="11" t="s">
        <v>809</v>
      </c>
      <c r="B237" s="11"/>
      <c r="C237" s="11"/>
      <c r="D237" s="13"/>
      <c r="E237" s="3"/>
      <c r="F237" s="78"/>
      <c r="G237" s="2"/>
      <c r="H237" s="3"/>
      <c r="I237" s="2"/>
      <c r="J237" s="81"/>
    </row>
    <row r="238" spans="1:10" x14ac:dyDescent="0.2">
      <c r="A238" s="11" t="s">
        <v>810</v>
      </c>
      <c r="B238" s="11"/>
      <c r="C238" s="11"/>
      <c r="D238" s="13"/>
      <c r="E238" s="3"/>
      <c r="F238" s="78"/>
      <c r="G238" s="2"/>
      <c r="H238" s="3"/>
      <c r="I238" s="2"/>
      <c r="J238" s="81"/>
    </row>
    <row r="239" spans="1:10" x14ac:dyDescent="0.2">
      <c r="A239" s="11" t="s">
        <v>811</v>
      </c>
      <c r="B239" s="11"/>
      <c r="C239" s="11"/>
      <c r="D239" s="13"/>
      <c r="E239" s="3"/>
      <c r="F239" s="78"/>
      <c r="G239" s="2"/>
      <c r="H239" s="3"/>
      <c r="I239" s="2"/>
      <c r="J239" s="81"/>
    </row>
    <row r="240" spans="1:10" x14ac:dyDescent="0.2">
      <c r="A240" s="11" t="s">
        <v>812</v>
      </c>
      <c r="B240" s="11"/>
      <c r="C240" s="11"/>
      <c r="D240" s="13"/>
      <c r="E240" s="3"/>
      <c r="F240" s="78"/>
      <c r="G240" s="2"/>
      <c r="H240" s="3"/>
      <c r="I240" s="2"/>
      <c r="J240" s="81"/>
    </row>
    <row r="241" spans="1:10" x14ac:dyDescent="0.2">
      <c r="A241" s="11" t="s">
        <v>813</v>
      </c>
      <c r="B241" s="11"/>
      <c r="C241" s="11"/>
      <c r="D241" s="13"/>
      <c r="E241" s="3"/>
      <c r="F241" s="78"/>
      <c r="G241" s="2"/>
      <c r="H241" s="3"/>
      <c r="I241" s="2"/>
      <c r="J241" s="81"/>
    </row>
    <row r="242" spans="1:10" x14ac:dyDescent="0.2">
      <c r="A242" s="11" t="s">
        <v>814</v>
      </c>
      <c r="B242" s="11"/>
      <c r="C242" s="11"/>
      <c r="D242" s="13"/>
      <c r="E242" s="3"/>
      <c r="F242" s="78"/>
      <c r="G242" s="2"/>
      <c r="H242" s="3"/>
      <c r="I242" s="2"/>
      <c r="J242" s="81"/>
    </row>
    <row r="243" spans="1:10" x14ac:dyDescent="0.2">
      <c r="A243" s="11" t="s">
        <v>815</v>
      </c>
      <c r="B243" s="11"/>
      <c r="C243" s="11"/>
      <c r="D243" s="13"/>
      <c r="E243" s="3"/>
      <c r="F243" s="78"/>
      <c r="G243" s="2"/>
      <c r="H243" s="3"/>
      <c r="I243" s="2"/>
      <c r="J243" s="81"/>
    </row>
    <row r="244" spans="1:10" x14ac:dyDescent="0.2">
      <c r="A244" s="11" t="s">
        <v>816</v>
      </c>
      <c r="B244" s="11"/>
      <c r="C244" s="11"/>
      <c r="D244" s="13"/>
      <c r="E244" s="3"/>
      <c r="F244" s="78"/>
      <c r="G244" s="2"/>
      <c r="H244" s="3"/>
      <c r="I244" s="2"/>
      <c r="J244" s="81"/>
    </row>
    <row r="245" spans="1:10" x14ac:dyDescent="0.2">
      <c r="A245" s="11" t="s">
        <v>817</v>
      </c>
      <c r="B245" s="11"/>
      <c r="C245" s="11"/>
      <c r="D245" s="13"/>
      <c r="E245" s="3"/>
      <c r="F245" s="78"/>
      <c r="G245" s="2"/>
      <c r="H245" s="3"/>
      <c r="I245" s="2"/>
      <c r="J245" s="81"/>
    </row>
    <row r="246" spans="1:10" x14ac:dyDescent="0.2">
      <c r="A246" s="11" t="s">
        <v>818</v>
      </c>
      <c r="B246" s="11"/>
      <c r="C246" s="11"/>
      <c r="D246" s="13"/>
      <c r="E246" s="3"/>
      <c r="F246" s="78"/>
      <c r="G246" s="2"/>
      <c r="H246" s="3"/>
      <c r="I246" s="2"/>
      <c r="J246" s="81"/>
    </row>
    <row r="247" spans="1:10" x14ac:dyDescent="0.2">
      <c r="A247" s="68"/>
      <c r="B247" s="68"/>
    </row>
    <row r="248" spans="1:10" x14ac:dyDescent="0.2">
      <c r="A248" s="68"/>
      <c r="B248" s="68"/>
    </row>
    <row r="249" spans="1:10" x14ac:dyDescent="0.2">
      <c r="A249" s="68"/>
      <c r="B249" s="68"/>
    </row>
    <row r="250" spans="1:10" x14ac:dyDescent="0.2">
      <c r="A250" s="68"/>
      <c r="B250" s="68"/>
    </row>
    <row r="251" spans="1:10" x14ac:dyDescent="0.2">
      <c r="A251" s="68"/>
      <c r="B251" s="68"/>
    </row>
    <row r="252" spans="1:10" x14ac:dyDescent="0.2">
      <c r="A252" s="68"/>
      <c r="B252" s="68"/>
    </row>
    <row r="253" spans="1:10" x14ac:dyDescent="0.2">
      <c r="A253" s="68"/>
      <c r="B253" s="68"/>
    </row>
    <row r="254" spans="1:10" x14ac:dyDescent="0.2">
      <c r="A254" s="68"/>
      <c r="B254" s="68"/>
    </row>
    <row r="255" spans="1:10" x14ac:dyDescent="0.2">
      <c r="A255" s="68"/>
      <c r="B255" s="68"/>
    </row>
    <row r="256" spans="1:10" x14ac:dyDescent="0.2">
      <c r="A256" s="68"/>
      <c r="B256" s="68"/>
    </row>
    <row r="257" spans="1:2" x14ac:dyDescent="0.2">
      <c r="A257" s="68"/>
      <c r="B257" s="68"/>
    </row>
    <row r="258" spans="1:2" x14ac:dyDescent="0.2">
      <c r="A258" s="68"/>
      <c r="B258" s="68"/>
    </row>
    <row r="259" spans="1:2" x14ac:dyDescent="0.2">
      <c r="A259" s="68"/>
      <c r="B259" s="68"/>
    </row>
    <row r="260" spans="1:2" x14ac:dyDescent="0.2">
      <c r="A260" s="68"/>
      <c r="B260" s="68"/>
    </row>
    <row r="261" spans="1:2" x14ac:dyDescent="0.2">
      <c r="A261" s="68"/>
      <c r="B261" s="68"/>
    </row>
    <row r="262" spans="1:2" x14ac:dyDescent="0.2">
      <c r="A262" s="68"/>
      <c r="B262" s="68"/>
    </row>
    <row r="263" spans="1:2" x14ac:dyDescent="0.2">
      <c r="A263" s="68"/>
      <c r="B263" s="68"/>
    </row>
    <row r="264" spans="1:2" x14ac:dyDescent="0.2">
      <c r="A264" s="68"/>
      <c r="B264" s="68"/>
    </row>
    <row r="265" spans="1:2" x14ac:dyDescent="0.2">
      <c r="A265" s="68"/>
      <c r="B265" s="68"/>
    </row>
    <row r="266" spans="1:2" x14ac:dyDescent="0.2">
      <c r="A266" s="68"/>
      <c r="B266" s="68"/>
    </row>
    <row r="267" spans="1:2" x14ac:dyDescent="0.2">
      <c r="A267" s="68"/>
      <c r="B267" s="68"/>
    </row>
    <row r="268" spans="1:2" x14ac:dyDescent="0.2">
      <c r="A268" s="68"/>
      <c r="B268" s="68"/>
    </row>
    <row r="269" spans="1:2" x14ac:dyDescent="0.2">
      <c r="A269" s="68"/>
      <c r="B269" s="68"/>
    </row>
    <row r="270" spans="1:2" x14ac:dyDescent="0.2">
      <c r="A270" s="68"/>
      <c r="B270" s="68"/>
    </row>
    <row r="271" spans="1:2" x14ac:dyDescent="0.2">
      <c r="A271" s="68"/>
      <c r="B271" s="68"/>
    </row>
    <row r="272" spans="1:2" x14ac:dyDescent="0.2">
      <c r="A272" s="68"/>
      <c r="B272" s="68"/>
    </row>
    <row r="273" spans="1:2" x14ac:dyDescent="0.2">
      <c r="A273" s="68"/>
      <c r="B273" s="68"/>
    </row>
    <row r="274" spans="1:2" x14ac:dyDescent="0.2">
      <c r="A274" s="68"/>
      <c r="B274" s="68"/>
    </row>
    <row r="275" spans="1:2" x14ac:dyDescent="0.2">
      <c r="A275" s="68"/>
      <c r="B275" s="68"/>
    </row>
    <row r="276" spans="1:2" x14ac:dyDescent="0.2">
      <c r="A276" s="68"/>
      <c r="B276" s="68"/>
    </row>
    <row r="277" spans="1:2" x14ac:dyDescent="0.2">
      <c r="A277" s="68"/>
      <c r="B277" s="68"/>
    </row>
    <row r="278" spans="1:2" x14ac:dyDescent="0.2">
      <c r="A278" s="68"/>
      <c r="B278" s="68"/>
    </row>
    <row r="279" spans="1:2" x14ac:dyDescent="0.2">
      <c r="A279" s="68"/>
      <c r="B279" s="68"/>
    </row>
    <row r="280" spans="1:2" x14ac:dyDescent="0.2">
      <c r="A280" s="68"/>
      <c r="B280" s="68"/>
    </row>
    <row r="281" spans="1:2" x14ac:dyDescent="0.2">
      <c r="A281" s="68"/>
      <c r="B281" s="68"/>
    </row>
    <row r="282" spans="1:2" x14ac:dyDescent="0.2">
      <c r="A282" s="68"/>
      <c r="B282" s="68"/>
    </row>
    <row r="283" spans="1:2" x14ac:dyDescent="0.2">
      <c r="A283" s="68"/>
      <c r="B283" s="68"/>
    </row>
    <row r="284" spans="1:2" x14ac:dyDescent="0.2">
      <c r="A284" s="68"/>
      <c r="B284" s="68"/>
    </row>
    <row r="285" spans="1:2" x14ac:dyDescent="0.2">
      <c r="A285" s="68"/>
      <c r="B285" s="68"/>
    </row>
    <row r="286" spans="1:2" x14ac:dyDescent="0.2">
      <c r="A286" s="68"/>
      <c r="B286" s="68"/>
    </row>
    <row r="287" spans="1:2" x14ac:dyDescent="0.2">
      <c r="A287" s="68"/>
      <c r="B287" s="68"/>
    </row>
    <row r="288" spans="1:2" x14ac:dyDescent="0.2">
      <c r="A288" s="68"/>
      <c r="B288" s="68"/>
    </row>
    <row r="289" spans="1:2" x14ac:dyDescent="0.2">
      <c r="A289" s="68"/>
      <c r="B289" s="68"/>
    </row>
    <row r="290" spans="1:2" x14ac:dyDescent="0.2">
      <c r="A290" s="68"/>
      <c r="B290" s="68"/>
    </row>
    <row r="291" spans="1:2" x14ac:dyDescent="0.2">
      <c r="A291" s="68"/>
      <c r="B291" s="68"/>
    </row>
    <row r="292" spans="1:2" x14ac:dyDescent="0.2">
      <c r="A292" s="68"/>
      <c r="B292" s="68"/>
    </row>
    <row r="293" spans="1:2" x14ac:dyDescent="0.2">
      <c r="A293" s="68"/>
      <c r="B293" s="68"/>
    </row>
    <row r="294" spans="1:2" x14ac:dyDescent="0.2">
      <c r="A294" s="68"/>
      <c r="B294" s="68"/>
    </row>
    <row r="295" spans="1:2" x14ac:dyDescent="0.2">
      <c r="A295" s="68"/>
      <c r="B295" s="68"/>
    </row>
    <row r="296" spans="1:2" x14ac:dyDescent="0.2">
      <c r="A296" s="68"/>
      <c r="B296" s="68"/>
    </row>
    <row r="297" spans="1:2" x14ac:dyDescent="0.2">
      <c r="A297" s="68"/>
      <c r="B297" s="68"/>
    </row>
    <row r="298" spans="1:2" x14ac:dyDescent="0.2">
      <c r="A298" s="68"/>
      <c r="B298" s="68"/>
    </row>
    <row r="299" spans="1:2" x14ac:dyDescent="0.2">
      <c r="A299" s="68"/>
      <c r="B299" s="68"/>
    </row>
    <row r="300" spans="1:2" x14ac:dyDescent="0.2">
      <c r="A300" s="68"/>
      <c r="B300" s="68"/>
    </row>
    <row r="301" spans="1:2" x14ac:dyDescent="0.2">
      <c r="A301" s="68"/>
      <c r="B301" s="68"/>
    </row>
    <row r="302" spans="1:2" x14ac:dyDescent="0.2">
      <c r="A302" s="68"/>
      <c r="B302" s="68"/>
    </row>
    <row r="303" spans="1:2" x14ac:dyDescent="0.2">
      <c r="A303" s="68"/>
      <c r="B303" s="68"/>
    </row>
    <row r="304" spans="1:2" x14ac:dyDescent="0.2">
      <c r="A304" s="68"/>
      <c r="B304" s="68"/>
    </row>
    <row r="305" spans="1:2" x14ac:dyDescent="0.2">
      <c r="A305" s="68"/>
      <c r="B305" s="68"/>
    </row>
    <row r="306" spans="1:2" x14ac:dyDescent="0.2">
      <c r="A306" s="68"/>
      <c r="B306" s="68"/>
    </row>
    <row r="307" spans="1:2" x14ac:dyDescent="0.2">
      <c r="A307" s="68"/>
      <c r="B307" s="68"/>
    </row>
    <row r="308" spans="1:2" x14ac:dyDescent="0.2">
      <c r="A308" s="68"/>
      <c r="B308" s="68"/>
    </row>
    <row r="309" spans="1:2" x14ac:dyDescent="0.2">
      <c r="A309" s="68"/>
      <c r="B309" s="68"/>
    </row>
    <row r="310" spans="1:2" x14ac:dyDescent="0.2">
      <c r="A310" s="68"/>
      <c r="B310" s="68"/>
    </row>
    <row r="311" spans="1:2" x14ac:dyDescent="0.2">
      <c r="A311" s="68"/>
      <c r="B311" s="68"/>
    </row>
    <row r="312" spans="1:2" x14ac:dyDescent="0.2">
      <c r="A312" s="68"/>
      <c r="B312" s="68"/>
    </row>
    <row r="313" spans="1:2" x14ac:dyDescent="0.2">
      <c r="A313" s="68"/>
      <c r="B313" s="68"/>
    </row>
    <row r="314" spans="1:2" x14ac:dyDescent="0.2">
      <c r="A314" s="68"/>
      <c r="B314" s="68"/>
    </row>
    <row r="315" spans="1:2" x14ac:dyDescent="0.2">
      <c r="A315" s="68"/>
      <c r="B315" s="68"/>
    </row>
    <row r="316" spans="1:2" x14ac:dyDescent="0.2">
      <c r="A316" s="68"/>
      <c r="B316" s="68"/>
    </row>
    <row r="317" spans="1:2" x14ac:dyDescent="0.2">
      <c r="A317" s="68"/>
      <c r="B317" s="68"/>
    </row>
    <row r="318" spans="1:2" x14ac:dyDescent="0.2">
      <c r="A318" s="68"/>
      <c r="B318" s="68"/>
    </row>
    <row r="319" spans="1:2" x14ac:dyDescent="0.2">
      <c r="A319" s="68"/>
      <c r="B319" s="68"/>
    </row>
    <row r="320" spans="1:2" x14ac:dyDescent="0.2">
      <c r="A320" s="68"/>
      <c r="B320" s="68"/>
    </row>
    <row r="321" spans="1:2" x14ac:dyDescent="0.2">
      <c r="A321" s="68"/>
      <c r="B321" s="68"/>
    </row>
    <row r="322" spans="1:2" x14ac:dyDescent="0.2">
      <c r="A322" s="68"/>
      <c r="B322" s="68"/>
    </row>
    <row r="323" spans="1:2" x14ac:dyDescent="0.2">
      <c r="A323" s="68"/>
      <c r="B323" s="68"/>
    </row>
    <row r="324" spans="1:2" x14ac:dyDescent="0.2">
      <c r="A324" s="68"/>
      <c r="B324" s="68"/>
    </row>
    <row r="325" spans="1:2" x14ac:dyDescent="0.2">
      <c r="A325" s="68"/>
      <c r="B325" s="68"/>
    </row>
    <row r="326" spans="1:2" x14ac:dyDescent="0.2">
      <c r="A326" s="68"/>
      <c r="B326" s="68"/>
    </row>
    <row r="327" spans="1:2" x14ac:dyDescent="0.2">
      <c r="A327" s="68"/>
      <c r="B327" s="68"/>
    </row>
    <row r="328" spans="1:2" x14ac:dyDescent="0.2">
      <c r="A328" s="68"/>
      <c r="B328" s="68"/>
    </row>
    <row r="329" spans="1:2" x14ac:dyDescent="0.2">
      <c r="A329" s="68"/>
      <c r="B329" s="68"/>
    </row>
    <row r="330" spans="1:2" x14ac:dyDescent="0.2">
      <c r="A330" s="68"/>
      <c r="B330" s="68"/>
    </row>
    <row r="331" spans="1:2" x14ac:dyDescent="0.2">
      <c r="A331" s="68"/>
      <c r="B331" s="68"/>
    </row>
    <row r="332" spans="1:2" x14ac:dyDescent="0.2">
      <c r="A332" s="68"/>
      <c r="B332" s="68"/>
    </row>
    <row r="333" spans="1:2" x14ac:dyDescent="0.2">
      <c r="A333" s="68"/>
      <c r="B333" s="68"/>
    </row>
    <row r="334" spans="1:2" x14ac:dyDescent="0.2">
      <c r="A334" s="68"/>
      <c r="B334" s="68"/>
    </row>
    <row r="335" spans="1:2" x14ac:dyDescent="0.2">
      <c r="A335" s="68"/>
      <c r="B335" s="68"/>
    </row>
    <row r="336" spans="1:2" x14ac:dyDescent="0.2">
      <c r="A336" s="68"/>
      <c r="B336" s="68"/>
    </row>
    <row r="337" spans="1:2" x14ac:dyDescent="0.2">
      <c r="A337" s="68"/>
      <c r="B337" s="68"/>
    </row>
    <row r="338" spans="1:2" x14ac:dyDescent="0.2">
      <c r="A338" s="68"/>
      <c r="B338" s="68"/>
    </row>
    <row r="339" spans="1:2" x14ac:dyDescent="0.2">
      <c r="A339" s="68"/>
      <c r="B339" s="68"/>
    </row>
    <row r="340" spans="1:2" x14ac:dyDescent="0.2">
      <c r="A340" s="68"/>
      <c r="B340" s="68"/>
    </row>
    <row r="341" spans="1:2" x14ac:dyDescent="0.2">
      <c r="A341" s="68"/>
      <c r="B341" s="68"/>
    </row>
    <row r="342" spans="1:2" x14ac:dyDescent="0.2">
      <c r="A342" s="68"/>
      <c r="B342" s="68"/>
    </row>
    <row r="343" spans="1:2" x14ac:dyDescent="0.2">
      <c r="A343" s="68"/>
      <c r="B343" s="68"/>
    </row>
    <row r="344" spans="1:2" x14ac:dyDescent="0.2">
      <c r="A344" s="68"/>
      <c r="B344" s="68"/>
    </row>
    <row r="345" spans="1:2" x14ac:dyDescent="0.2">
      <c r="A345" s="68"/>
      <c r="B345" s="68"/>
    </row>
    <row r="346" spans="1:2" x14ac:dyDescent="0.2">
      <c r="A346" s="68"/>
      <c r="B346" s="68"/>
    </row>
    <row r="347" spans="1:2" x14ac:dyDescent="0.2">
      <c r="A347" s="68"/>
      <c r="B347" s="68"/>
    </row>
    <row r="348" spans="1:2" x14ac:dyDescent="0.2">
      <c r="A348" s="68"/>
      <c r="B348" s="68"/>
    </row>
    <row r="349" spans="1:2" x14ac:dyDescent="0.2">
      <c r="A349" s="68"/>
      <c r="B349" s="68"/>
    </row>
    <row r="350" spans="1:2" x14ac:dyDescent="0.2">
      <c r="A350" s="68"/>
      <c r="B350" s="68"/>
    </row>
    <row r="351" spans="1:2" x14ac:dyDescent="0.2">
      <c r="A351" s="68"/>
      <c r="B351" s="68"/>
    </row>
    <row r="352" spans="1:2" x14ac:dyDescent="0.2">
      <c r="A352" s="68"/>
      <c r="B352" s="68"/>
    </row>
    <row r="353" spans="1:2" x14ac:dyDescent="0.2">
      <c r="A353" s="68"/>
      <c r="B353" s="68"/>
    </row>
    <row r="354" spans="1:2" x14ac:dyDescent="0.2">
      <c r="A354" s="68"/>
      <c r="B354" s="68"/>
    </row>
    <row r="355" spans="1:2" x14ac:dyDescent="0.2">
      <c r="A355" s="68"/>
      <c r="B355" s="68"/>
    </row>
    <row r="356" spans="1:2" x14ac:dyDescent="0.2">
      <c r="A356" s="68"/>
      <c r="B356" s="68"/>
    </row>
    <row r="357" spans="1:2" x14ac:dyDescent="0.2">
      <c r="A357" s="68"/>
      <c r="B357" s="68"/>
    </row>
    <row r="358" spans="1:2" x14ac:dyDescent="0.2">
      <c r="A358" s="68"/>
      <c r="B358" s="68"/>
    </row>
    <row r="359" spans="1:2" x14ac:dyDescent="0.2">
      <c r="A359" s="68"/>
      <c r="B359" s="68"/>
    </row>
    <row r="360" spans="1:2" x14ac:dyDescent="0.2">
      <c r="A360" s="68"/>
      <c r="B360" s="68"/>
    </row>
    <row r="361" spans="1:2" x14ac:dyDescent="0.2">
      <c r="A361" s="68"/>
      <c r="B361" s="68"/>
    </row>
    <row r="362" spans="1:2" x14ac:dyDescent="0.2">
      <c r="A362" s="68"/>
      <c r="B362" s="68"/>
    </row>
    <row r="363" spans="1:2" x14ac:dyDescent="0.2">
      <c r="A363" s="68"/>
      <c r="B363" s="68"/>
    </row>
    <row r="364" spans="1:2" x14ac:dyDescent="0.2">
      <c r="A364" s="68"/>
      <c r="B364" s="68"/>
    </row>
    <row r="365" spans="1:2" x14ac:dyDescent="0.2">
      <c r="A365" s="68"/>
      <c r="B365" s="68"/>
    </row>
    <row r="366" spans="1:2" x14ac:dyDescent="0.2">
      <c r="A366" s="68"/>
      <c r="B366" s="68"/>
    </row>
    <row r="367" spans="1:2" x14ac:dyDescent="0.2">
      <c r="A367" s="68"/>
      <c r="B367" s="68"/>
    </row>
    <row r="368" spans="1:2" x14ac:dyDescent="0.2">
      <c r="A368" s="68"/>
      <c r="B368" s="68"/>
    </row>
    <row r="369" spans="1:2" x14ac:dyDescent="0.2">
      <c r="A369" s="68"/>
      <c r="B369" s="68"/>
    </row>
    <row r="370" spans="1:2" x14ac:dyDescent="0.2">
      <c r="A370" s="68"/>
      <c r="B370" s="68"/>
    </row>
    <row r="371" spans="1:2" x14ac:dyDescent="0.2">
      <c r="A371" s="68"/>
      <c r="B371" s="68"/>
    </row>
    <row r="372" spans="1:2" x14ac:dyDescent="0.2">
      <c r="A372" s="68"/>
      <c r="B372" s="68"/>
    </row>
    <row r="373" spans="1:2" x14ac:dyDescent="0.2">
      <c r="A373" s="68"/>
      <c r="B373" s="68"/>
    </row>
    <row r="374" spans="1:2" x14ac:dyDescent="0.2">
      <c r="A374" s="68"/>
      <c r="B374" s="68"/>
    </row>
    <row r="375" spans="1:2" x14ac:dyDescent="0.2">
      <c r="A375" s="68"/>
      <c r="B375" s="68"/>
    </row>
    <row r="376" spans="1:2" x14ac:dyDescent="0.2">
      <c r="A376" s="68"/>
      <c r="B376" s="68"/>
    </row>
    <row r="377" spans="1:2" x14ac:dyDescent="0.2">
      <c r="A377" s="68"/>
      <c r="B377" s="68"/>
    </row>
    <row r="378" spans="1:2" x14ac:dyDescent="0.2">
      <c r="A378" s="68"/>
      <c r="B378" s="68"/>
    </row>
    <row r="379" spans="1:2" x14ac:dyDescent="0.2">
      <c r="A379" s="68"/>
      <c r="B379" s="68"/>
    </row>
    <row r="380" spans="1:2" x14ac:dyDescent="0.2">
      <c r="A380" s="68"/>
      <c r="B380" s="68"/>
    </row>
    <row r="381" spans="1:2" x14ac:dyDescent="0.2">
      <c r="A381" s="68"/>
      <c r="B381" s="68"/>
    </row>
    <row r="382" spans="1:2" x14ac:dyDescent="0.2">
      <c r="A382" s="68"/>
      <c r="B382" s="68"/>
    </row>
    <row r="383" spans="1:2" x14ac:dyDescent="0.2">
      <c r="A383" s="68"/>
      <c r="B383" s="68"/>
    </row>
    <row r="384" spans="1:2" x14ac:dyDescent="0.2">
      <c r="A384" s="68"/>
      <c r="B384" s="68"/>
    </row>
    <row r="385" spans="1:2" x14ac:dyDescent="0.2">
      <c r="A385" s="68"/>
      <c r="B385" s="68"/>
    </row>
    <row r="386" spans="1:2" x14ac:dyDescent="0.2">
      <c r="A386" s="68"/>
      <c r="B386" s="68"/>
    </row>
    <row r="387" spans="1:2" x14ac:dyDescent="0.2">
      <c r="A387" s="68"/>
      <c r="B387" s="68"/>
    </row>
    <row r="388" spans="1:2" x14ac:dyDescent="0.2">
      <c r="A388" s="68"/>
      <c r="B388" s="68"/>
    </row>
    <row r="389" spans="1:2" x14ac:dyDescent="0.2">
      <c r="A389" s="68"/>
      <c r="B389" s="68"/>
    </row>
    <row r="390" spans="1:2" x14ac:dyDescent="0.2">
      <c r="A390" s="68"/>
      <c r="B390" s="68"/>
    </row>
    <row r="391" spans="1:2" x14ac:dyDescent="0.2">
      <c r="A391" s="68"/>
      <c r="B391" s="68"/>
    </row>
    <row r="392" spans="1:2" x14ac:dyDescent="0.2">
      <c r="A392" s="68"/>
      <c r="B392" s="68"/>
    </row>
    <row r="393" spans="1:2" x14ac:dyDescent="0.2">
      <c r="A393" s="68"/>
      <c r="B393" s="68"/>
    </row>
    <row r="394" spans="1:2" x14ac:dyDescent="0.2">
      <c r="A394" s="68"/>
      <c r="B394" s="68"/>
    </row>
    <row r="395" spans="1:2" x14ac:dyDescent="0.2">
      <c r="A395" s="68"/>
      <c r="B395" s="68"/>
    </row>
    <row r="396" spans="1:2" x14ac:dyDescent="0.2">
      <c r="A396" s="68"/>
      <c r="B396" s="68"/>
    </row>
    <row r="397" spans="1:2" x14ac:dyDescent="0.2">
      <c r="A397" s="68"/>
      <c r="B397" s="68"/>
    </row>
    <row r="398" spans="1:2" x14ac:dyDescent="0.2">
      <c r="A398" s="68"/>
      <c r="B398" s="68"/>
    </row>
    <row r="399" spans="1:2" x14ac:dyDescent="0.2">
      <c r="A399" s="68"/>
      <c r="B399" s="68"/>
    </row>
    <row r="400" spans="1:2" x14ac:dyDescent="0.2">
      <c r="A400" s="68"/>
      <c r="B400" s="68"/>
    </row>
    <row r="401" spans="1:2" x14ac:dyDescent="0.2">
      <c r="A401" s="68"/>
      <c r="B401" s="68"/>
    </row>
    <row r="402" spans="1:2" x14ac:dyDescent="0.2">
      <c r="A402" s="68"/>
      <c r="B402" s="68"/>
    </row>
    <row r="403" spans="1:2" x14ac:dyDescent="0.2">
      <c r="A403" s="68"/>
      <c r="B403" s="68"/>
    </row>
    <row r="404" spans="1:2" x14ac:dyDescent="0.2">
      <c r="A404" s="68"/>
      <c r="B404" s="68"/>
    </row>
    <row r="405" spans="1:2" x14ac:dyDescent="0.2">
      <c r="A405" s="68"/>
      <c r="B405" s="68"/>
    </row>
    <row r="406" spans="1:2" x14ac:dyDescent="0.2">
      <c r="A406" s="68"/>
      <c r="B406" s="68"/>
    </row>
    <row r="407" spans="1:2" x14ac:dyDescent="0.2">
      <c r="A407" s="68"/>
      <c r="B407" s="68"/>
    </row>
    <row r="408" spans="1:2" x14ac:dyDescent="0.2">
      <c r="A408" s="68"/>
      <c r="B408" s="68"/>
    </row>
    <row r="409" spans="1:2" x14ac:dyDescent="0.2">
      <c r="A409" s="68"/>
      <c r="B409" s="68"/>
    </row>
    <row r="410" spans="1:2" x14ac:dyDescent="0.2">
      <c r="A410" s="68"/>
      <c r="B410" s="68"/>
    </row>
    <row r="411" spans="1:2" x14ac:dyDescent="0.2">
      <c r="A411" s="68"/>
      <c r="B411" s="68"/>
    </row>
    <row r="412" spans="1:2" x14ac:dyDescent="0.2">
      <c r="A412" s="68"/>
      <c r="B412" s="68"/>
    </row>
    <row r="413" spans="1:2" x14ac:dyDescent="0.2">
      <c r="A413" s="68"/>
      <c r="B413" s="68"/>
    </row>
    <row r="414" spans="1:2" x14ac:dyDescent="0.2">
      <c r="A414" s="68"/>
      <c r="B414" s="68"/>
    </row>
    <row r="415" spans="1:2" x14ac:dyDescent="0.2">
      <c r="A415" s="68"/>
      <c r="B415" s="68"/>
    </row>
    <row r="416" spans="1:2" x14ac:dyDescent="0.2">
      <c r="A416" s="68"/>
      <c r="B416" s="68"/>
    </row>
    <row r="417" spans="1:2" x14ac:dyDescent="0.2">
      <c r="A417" s="68"/>
      <c r="B417" s="68"/>
    </row>
    <row r="418" spans="1:2" x14ac:dyDescent="0.2">
      <c r="A418" s="68"/>
      <c r="B418" s="68"/>
    </row>
    <row r="419" spans="1:2" x14ac:dyDescent="0.2">
      <c r="A419" s="68"/>
      <c r="B419" s="68"/>
    </row>
    <row r="420" spans="1:2" x14ac:dyDescent="0.2">
      <c r="A420" s="68"/>
      <c r="B420" s="68"/>
    </row>
    <row r="421" spans="1:2" x14ac:dyDescent="0.2">
      <c r="A421" s="68"/>
      <c r="B421" s="68"/>
    </row>
    <row r="422" spans="1:2" x14ac:dyDescent="0.2">
      <c r="A422" s="68"/>
      <c r="B422" s="68"/>
    </row>
    <row r="423" spans="1:2" x14ac:dyDescent="0.2">
      <c r="A423" s="68"/>
      <c r="B423" s="68"/>
    </row>
    <row r="424" spans="1:2" x14ac:dyDescent="0.2">
      <c r="A424" s="68"/>
      <c r="B424" s="68"/>
    </row>
    <row r="425" spans="1:2" x14ac:dyDescent="0.2">
      <c r="A425" s="68"/>
      <c r="B425" s="68"/>
    </row>
    <row r="426" spans="1:2" x14ac:dyDescent="0.2">
      <c r="A426" s="68"/>
      <c r="B426" s="68"/>
    </row>
    <row r="427" spans="1:2" x14ac:dyDescent="0.2">
      <c r="A427" s="68"/>
      <c r="B427" s="68"/>
    </row>
    <row r="428" spans="1:2" x14ac:dyDescent="0.2">
      <c r="A428" s="68"/>
      <c r="B428" s="68"/>
    </row>
    <row r="429" spans="1:2" x14ac:dyDescent="0.2">
      <c r="A429" s="68"/>
      <c r="B429" s="68"/>
    </row>
    <row r="430" spans="1:2" x14ac:dyDescent="0.2">
      <c r="A430" s="68"/>
      <c r="B430" s="68"/>
    </row>
    <row r="431" spans="1:2" x14ac:dyDescent="0.2">
      <c r="A431" s="68"/>
      <c r="B431" s="68"/>
    </row>
    <row r="432" spans="1:2" x14ac:dyDescent="0.2">
      <c r="A432" s="68"/>
      <c r="B432" s="68"/>
    </row>
    <row r="433" spans="1:2" x14ac:dyDescent="0.2">
      <c r="A433" s="68"/>
      <c r="B433" s="68"/>
    </row>
    <row r="434" spans="1:2" x14ac:dyDescent="0.2">
      <c r="A434" s="68"/>
      <c r="B434" s="68"/>
    </row>
    <row r="435" spans="1:2" x14ac:dyDescent="0.2">
      <c r="A435" s="68"/>
      <c r="B435" s="68"/>
    </row>
    <row r="436" spans="1:2" x14ac:dyDescent="0.2">
      <c r="A436" s="68"/>
      <c r="B436" s="68"/>
    </row>
    <row r="437" spans="1:2" x14ac:dyDescent="0.2">
      <c r="A437" s="68"/>
      <c r="B437" s="68"/>
    </row>
    <row r="438" spans="1:2" x14ac:dyDescent="0.2">
      <c r="A438" s="68"/>
      <c r="B438" s="68"/>
    </row>
    <row r="439" spans="1:2" x14ac:dyDescent="0.2">
      <c r="A439" s="68"/>
      <c r="B439" s="68"/>
    </row>
    <row r="440" spans="1:2" x14ac:dyDescent="0.2">
      <c r="A440" s="68"/>
      <c r="B440" s="68"/>
    </row>
    <row r="441" spans="1:2" x14ac:dyDescent="0.2">
      <c r="A441" s="68"/>
      <c r="B441" s="68"/>
    </row>
    <row r="442" spans="1:2" x14ac:dyDescent="0.2">
      <c r="A442" s="68"/>
      <c r="B442" s="68"/>
    </row>
    <row r="443" spans="1:2" x14ac:dyDescent="0.2">
      <c r="A443" s="68"/>
      <c r="B443" s="68"/>
    </row>
    <row r="444" spans="1:2" x14ac:dyDescent="0.2">
      <c r="A444" s="68"/>
      <c r="B444" s="68"/>
    </row>
    <row r="445" spans="1:2" x14ac:dyDescent="0.2">
      <c r="A445" s="68"/>
      <c r="B445" s="68"/>
    </row>
    <row r="446" spans="1:2" x14ac:dyDescent="0.2">
      <c r="A446" s="68"/>
      <c r="B446" s="68"/>
    </row>
    <row r="447" spans="1:2" x14ac:dyDescent="0.2">
      <c r="A447" s="68"/>
      <c r="B447" s="68"/>
    </row>
    <row r="448" spans="1:2" x14ac:dyDescent="0.2">
      <c r="A448" s="68"/>
      <c r="B448" s="68"/>
    </row>
    <row r="449" spans="1:2" x14ac:dyDescent="0.2">
      <c r="A449" s="68"/>
      <c r="B449" s="68"/>
    </row>
    <row r="450" spans="1:2" x14ac:dyDescent="0.2">
      <c r="A450" s="68"/>
      <c r="B450" s="68"/>
    </row>
    <row r="451" spans="1:2" x14ac:dyDescent="0.2">
      <c r="A451" s="68"/>
      <c r="B451" s="68"/>
    </row>
    <row r="452" spans="1:2" x14ac:dyDescent="0.2">
      <c r="A452" s="68"/>
      <c r="B452" s="68"/>
    </row>
    <row r="453" spans="1:2" x14ac:dyDescent="0.2">
      <c r="A453" s="68"/>
      <c r="B453" s="68"/>
    </row>
    <row r="454" spans="1:2" x14ac:dyDescent="0.2">
      <c r="A454" s="68"/>
      <c r="B454" s="68"/>
    </row>
    <row r="455" spans="1:2" x14ac:dyDescent="0.2">
      <c r="A455" s="68"/>
      <c r="B455" s="68"/>
    </row>
    <row r="456" spans="1:2" x14ac:dyDescent="0.2">
      <c r="A456" s="68"/>
      <c r="B456" s="68"/>
    </row>
    <row r="457" spans="1:2" x14ac:dyDescent="0.2">
      <c r="A457" s="68"/>
      <c r="B457" s="68"/>
    </row>
    <row r="458" spans="1:2" x14ac:dyDescent="0.2">
      <c r="A458" s="68"/>
      <c r="B458" s="68"/>
    </row>
    <row r="459" spans="1:2" x14ac:dyDescent="0.2">
      <c r="A459" s="68"/>
      <c r="B459" s="68"/>
    </row>
    <row r="460" spans="1:2" x14ac:dyDescent="0.2">
      <c r="A460" s="68"/>
      <c r="B460" s="68"/>
    </row>
    <row r="461" spans="1:2" x14ac:dyDescent="0.2">
      <c r="A461" s="68"/>
      <c r="B461" s="68"/>
    </row>
    <row r="462" spans="1:2" x14ac:dyDescent="0.2">
      <c r="A462" s="68"/>
      <c r="B462" s="68"/>
    </row>
    <row r="463" spans="1:2" x14ac:dyDescent="0.2">
      <c r="A463" s="68"/>
      <c r="B463" s="68"/>
    </row>
    <row r="464" spans="1:2" x14ac:dyDescent="0.2">
      <c r="A464" s="68"/>
      <c r="B464" s="68"/>
    </row>
    <row r="465" spans="1:2" x14ac:dyDescent="0.2">
      <c r="A465" s="68"/>
      <c r="B465" s="68"/>
    </row>
    <row r="466" spans="1:2" x14ac:dyDescent="0.2">
      <c r="A466" s="68"/>
      <c r="B466" s="68"/>
    </row>
    <row r="467" spans="1:2" x14ac:dyDescent="0.2">
      <c r="A467" s="68"/>
      <c r="B467" s="68"/>
    </row>
    <row r="468" spans="1:2" x14ac:dyDescent="0.2">
      <c r="A468" s="68"/>
      <c r="B468" s="68"/>
    </row>
    <row r="469" spans="1:2" x14ac:dyDescent="0.2">
      <c r="A469" s="68"/>
      <c r="B469" s="68"/>
    </row>
    <row r="470" spans="1:2" x14ac:dyDescent="0.2">
      <c r="A470" s="68"/>
      <c r="B470" s="68"/>
    </row>
    <row r="471" spans="1:2" x14ac:dyDescent="0.2">
      <c r="A471" s="68"/>
      <c r="B471" s="68"/>
    </row>
    <row r="472" spans="1:2" x14ac:dyDescent="0.2">
      <c r="A472" s="68"/>
      <c r="B472" s="68"/>
    </row>
    <row r="473" spans="1:2" x14ac:dyDescent="0.2">
      <c r="A473" s="68"/>
      <c r="B473" s="68"/>
    </row>
    <row r="474" spans="1:2" x14ac:dyDescent="0.2">
      <c r="A474" s="68"/>
      <c r="B474" s="68"/>
    </row>
    <row r="475" spans="1:2" x14ac:dyDescent="0.2">
      <c r="A475" s="68"/>
      <c r="B475" s="68"/>
    </row>
    <row r="476" spans="1:2" x14ac:dyDescent="0.2">
      <c r="A476" s="68"/>
      <c r="B476" s="68"/>
    </row>
    <row r="477" spans="1:2" x14ac:dyDescent="0.2">
      <c r="A477" s="68"/>
      <c r="B477" s="68"/>
    </row>
    <row r="478" spans="1:2" x14ac:dyDescent="0.2">
      <c r="A478" s="68"/>
      <c r="B478" s="68"/>
    </row>
    <row r="479" spans="1:2" x14ac:dyDescent="0.2">
      <c r="A479" s="68"/>
      <c r="B479" s="68"/>
    </row>
    <row r="480" spans="1:2" x14ac:dyDescent="0.2">
      <c r="A480" s="68"/>
      <c r="B480" s="68"/>
    </row>
    <row r="481" spans="1:2" x14ac:dyDescent="0.2">
      <c r="A481" s="68"/>
      <c r="B481" s="68"/>
    </row>
    <row r="482" spans="1:2" x14ac:dyDescent="0.2">
      <c r="A482" s="68"/>
      <c r="B482" s="68"/>
    </row>
    <row r="483" spans="1:2" x14ac:dyDescent="0.2">
      <c r="A483" s="68"/>
      <c r="B483" s="68"/>
    </row>
    <row r="484" spans="1:2" x14ac:dyDescent="0.2">
      <c r="A484" s="68"/>
      <c r="B484" s="68"/>
    </row>
    <row r="485" spans="1:2" x14ac:dyDescent="0.2">
      <c r="A485" s="68"/>
      <c r="B485" s="68"/>
    </row>
    <row r="486" spans="1:2" x14ac:dyDescent="0.2">
      <c r="A486" s="68"/>
      <c r="B486" s="68"/>
    </row>
    <row r="487" spans="1:2" x14ac:dyDescent="0.2">
      <c r="A487" s="68"/>
      <c r="B487" s="68"/>
    </row>
    <row r="488" spans="1:2" x14ac:dyDescent="0.2">
      <c r="A488" s="68"/>
      <c r="B488" s="68"/>
    </row>
    <row r="489" spans="1:2" x14ac:dyDescent="0.2">
      <c r="A489" s="68"/>
      <c r="B489" s="68"/>
    </row>
    <row r="490" spans="1:2" x14ac:dyDescent="0.2">
      <c r="A490" s="68"/>
      <c r="B490" s="68"/>
    </row>
    <row r="491" spans="1:2" x14ac:dyDescent="0.2">
      <c r="A491" s="68"/>
      <c r="B491" s="68"/>
    </row>
    <row r="492" spans="1:2" x14ac:dyDescent="0.2">
      <c r="A492" s="68"/>
      <c r="B492" s="68"/>
    </row>
    <row r="493" spans="1:2" x14ac:dyDescent="0.2">
      <c r="A493" s="68"/>
      <c r="B493" s="68"/>
    </row>
    <row r="494" spans="1:2" x14ac:dyDescent="0.2">
      <c r="A494" s="68"/>
      <c r="B494" s="68"/>
    </row>
    <row r="495" spans="1:2" x14ac:dyDescent="0.2">
      <c r="A495" s="68"/>
      <c r="B495" s="68"/>
    </row>
    <row r="496" spans="1:2" x14ac:dyDescent="0.2">
      <c r="A496" s="68"/>
      <c r="B496" s="68"/>
    </row>
    <row r="497" spans="1:2" x14ac:dyDescent="0.2">
      <c r="A497" s="68"/>
      <c r="B497" s="68"/>
    </row>
    <row r="498" spans="1:2" x14ac:dyDescent="0.2">
      <c r="A498" s="68"/>
      <c r="B498" s="68"/>
    </row>
    <row r="499" spans="1:2" x14ac:dyDescent="0.2">
      <c r="A499" s="68"/>
      <c r="B499" s="68"/>
    </row>
    <row r="500" spans="1:2" x14ac:dyDescent="0.2">
      <c r="A500" s="68"/>
      <c r="B500" s="68"/>
    </row>
    <row r="501" spans="1:2" x14ac:dyDescent="0.2">
      <c r="A501" s="68"/>
      <c r="B501" s="68"/>
    </row>
    <row r="502" spans="1:2" x14ac:dyDescent="0.2">
      <c r="A502" s="68"/>
      <c r="B502" s="68"/>
    </row>
    <row r="503" spans="1:2" x14ac:dyDescent="0.2">
      <c r="A503" s="68"/>
      <c r="B503" s="68"/>
    </row>
    <row r="504" spans="1:2" x14ac:dyDescent="0.2">
      <c r="A504" s="68"/>
      <c r="B504" s="68"/>
    </row>
    <row r="505" spans="1:2" x14ac:dyDescent="0.2">
      <c r="A505" s="68"/>
      <c r="B505" s="68"/>
    </row>
    <row r="506" spans="1:2" x14ac:dyDescent="0.2">
      <c r="A506" s="68"/>
      <c r="B506" s="68"/>
    </row>
    <row r="507" spans="1:2" x14ac:dyDescent="0.2">
      <c r="A507" s="68"/>
      <c r="B507" s="68"/>
    </row>
    <row r="508" spans="1:2" x14ac:dyDescent="0.2">
      <c r="A508" s="68"/>
      <c r="B508" s="68"/>
    </row>
    <row r="509" spans="1:2" x14ac:dyDescent="0.2">
      <c r="A509" s="68"/>
      <c r="B509" s="68"/>
    </row>
    <row r="510" spans="1:2" x14ac:dyDescent="0.2">
      <c r="A510" s="68"/>
      <c r="B510" s="68"/>
    </row>
    <row r="511" spans="1:2" x14ac:dyDescent="0.2">
      <c r="A511" s="68"/>
      <c r="B511" s="68"/>
    </row>
    <row r="512" spans="1:2" x14ac:dyDescent="0.2">
      <c r="A512" s="68"/>
      <c r="B512" s="68"/>
    </row>
    <row r="513" spans="1:2" x14ac:dyDescent="0.2">
      <c r="A513" s="68"/>
      <c r="B513" s="68"/>
    </row>
    <row r="514" spans="1:2" x14ac:dyDescent="0.2">
      <c r="A514" s="68"/>
      <c r="B514" s="68"/>
    </row>
    <row r="515" spans="1:2" x14ac:dyDescent="0.2">
      <c r="A515" s="68"/>
      <c r="B515" s="68"/>
    </row>
    <row r="516" spans="1:2" x14ac:dyDescent="0.2">
      <c r="A516" s="68"/>
      <c r="B516" s="68"/>
    </row>
    <row r="517" spans="1:2" x14ac:dyDescent="0.2">
      <c r="A517" s="68"/>
      <c r="B517" s="68"/>
    </row>
    <row r="518" spans="1:2" x14ac:dyDescent="0.2">
      <c r="A518" s="68"/>
      <c r="B518" s="68"/>
    </row>
    <row r="519" spans="1:2" x14ac:dyDescent="0.2">
      <c r="A519" s="68"/>
      <c r="B519" s="68"/>
    </row>
    <row r="520" spans="1:2" x14ac:dyDescent="0.2">
      <c r="A520" s="68"/>
      <c r="B520" s="68"/>
    </row>
    <row r="521" spans="1:2" x14ac:dyDescent="0.2">
      <c r="A521" s="68"/>
      <c r="B521" s="68"/>
    </row>
    <row r="522" spans="1:2" x14ac:dyDescent="0.2">
      <c r="A522" s="68"/>
      <c r="B522" s="68"/>
    </row>
    <row r="523" spans="1:2" x14ac:dyDescent="0.2">
      <c r="A523" s="68"/>
      <c r="B523" s="68"/>
    </row>
    <row r="524" spans="1:2" x14ac:dyDescent="0.2">
      <c r="A524" s="68"/>
      <c r="B524" s="68"/>
    </row>
    <row r="525" spans="1:2" x14ac:dyDescent="0.2">
      <c r="A525" s="68"/>
      <c r="B525" s="68"/>
    </row>
    <row r="526" spans="1:2" x14ac:dyDescent="0.2">
      <c r="A526" s="68"/>
      <c r="B526" s="68"/>
    </row>
    <row r="527" spans="1:2" x14ac:dyDescent="0.2">
      <c r="A527" s="68"/>
      <c r="B527" s="68"/>
    </row>
    <row r="528" spans="1:2" x14ac:dyDescent="0.2">
      <c r="A528" s="68"/>
      <c r="B528" s="68"/>
    </row>
    <row r="529" spans="1:2" x14ac:dyDescent="0.2">
      <c r="A529" s="68"/>
      <c r="B529" s="68"/>
    </row>
    <row r="530" spans="1:2" x14ac:dyDescent="0.2">
      <c r="A530" s="68"/>
      <c r="B530" s="68"/>
    </row>
    <row r="531" spans="1:2" x14ac:dyDescent="0.2">
      <c r="A531" s="68"/>
      <c r="B531" s="68"/>
    </row>
    <row r="532" spans="1:2" x14ac:dyDescent="0.2">
      <c r="A532" s="68"/>
      <c r="B532" s="68"/>
    </row>
    <row r="533" spans="1:2" x14ac:dyDescent="0.2">
      <c r="A533" s="68"/>
      <c r="B533" s="68"/>
    </row>
    <row r="534" spans="1:2" x14ac:dyDescent="0.2">
      <c r="A534" s="68"/>
      <c r="B534" s="68"/>
    </row>
    <row r="535" spans="1:2" x14ac:dyDescent="0.2">
      <c r="A535" s="68"/>
      <c r="B535" s="68"/>
    </row>
    <row r="536" spans="1:2" x14ac:dyDescent="0.2">
      <c r="A536" s="68"/>
      <c r="B536" s="68"/>
    </row>
    <row r="537" spans="1:2" x14ac:dyDescent="0.2">
      <c r="A537" s="68"/>
      <c r="B537" s="68"/>
    </row>
    <row r="538" spans="1:2" x14ac:dyDescent="0.2">
      <c r="A538" s="68"/>
      <c r="B538" s="68"/>
    </row>
    <row r="539" spans="1:2" x14ac:dyDescent="0.2">
      <c r="A539" s="68"/>
      <c r="B539" s="68"/>
    </row>
    <row r="540" spans="1:2" x14ac:dyDescent="0.2">
      <c r="A540" s="68"/>
      <c r="B540" s="68"/>
    </row>
    <row r="541" spans="1:2" x14ac:dyDescent="0.2">
      <c r="A541" s="68"/>
      <c r="B541" s="68"/>
    </row>
    <row r="542" spans="1:2" x14ac:dyDescent="0.2">
      <c r="A542" s="68"/>
      <c r="B542" s="68"/>
    </row>
    <row r="543" spans="1:2" x14ac:dyDescent="0.2">
      <c r="A543" s="68"/>
      <c r="B543" s="68"/>
    </row>
    <row r="544" spans="1:2" x14ac:dyDescent="0.2">
      <c r="A544" s="68"/>
      <c r="B544" s="68"/>
    </row>
    <row r="545" spans="1:2" x14ac:dyDescent="0.2">
      <c r="A545" s="68"/>
      <c r="B545" s="68"/>
    </row>
    <row r="546" spans="1:2" x14ac:dyDescent="0.2">
      <c r="A546" s="68"/>
      <c r="B546" s="68"/>
    </row>
    <row r="547" spans="1:2" x14ac:dyDescent="0.2">
      <c r="A547" s="68"/>
      <c r="B547" s="68"/>
    </row>
    <row r="548" spans="1:2" x14ac:dyDescent="0.2">
      <c r="A548" s="68"/>
      <c r="B548" s="68"/>
    </row>
    <row r="549" spans="1:2" x14ac:dyDescent="0.2">
      <c r="A549" s="68"/>
      <c r="B549" s="68"/>
    </row>
    <row r="550" spans="1:2" x14ac:dyDescent="0.2">
      <c r="A550" s="68"/>
      <c r="B550" s="68"/>
    </row>
    <row r="551" spans="1:2" x14ac:dyDescent="0.2">
      <c r="A551" s="68"/>
      <c r="B551" s="68"/>
    </row>
    <row r="552" spans="1:2" x14ac:dyDescent="0.2">
      <c r="A552" s="68"/>
      <c r="B552" s="68"/>
    </row>
    <row r="553" spans="1:2" x14ac:dyDescent="0.2">
      <c r="A553" s="68"/>
      <c r="B553" s="68"/>
    </row>
    <row r="554" spans="1:2" x14ac:dyDescent="0.2">
      <c r="A554" s="68"/>
      <c r="B554" s="68"/>
    </row>
    <row r="555" spans="1:2" x14ac:dyDescent="0.2">
      <c r="A555" s="68"/>
      <c r="B555" s="68"/>
    </row>
    <row r="556" spans="1:2" x14ac:dyDescent="0.2">
      <c r="A556" s="68"/>
      <c r="B556" s="68"/>
    </row>
    <row r="557" spans="1:2" x14ac:dyDescent="0.2">
      <c r="A557" s="68"/>
      <c r="B557" s="68"/>
    </row>
    <row r="558" spans="1:2" x14ac:dyDescent="0.2">
      <c r="A558" s="68"/>
      <c r="B558" s="68"/>
    </row>
    <row r="559" spans="1:2" x14ac:dyDescent="0.2">
      <c r="A559" s="68"/>
      <c r="B559" s="68"/>
    </row>
    <row r="560" spans="1:2" x14ac:dyDescent="0.2">
      <c r="A560" s="68"/>
      <c r="B560" s="68"/>
    </row>
    <row r="561" spans="1:2" x14ac:dyDescent="0.2">
      <c r="A561" s="68"/>
      <c r="B561" s="68"/>
    </row>
    <row r="562" spans="1:2" x14ac:dyDescent="0.2">
      <c r="A562" s="68"/>
      <c r="B562" s="68"/>
    </row>
    <row r="563" spans="1:2" x14ac:dyDescent="0.2">
      <c r="A563" s="68"/>
      <c r="B563" s="68"/>
    </row>
    <row r="564" spans="1:2" x14ac:dyDescent="0.2">
      <c r="A564" s="68"/>
      <c r="B564" s="68"/>
    </row>
    <row r="565" spans="1:2" x14ac:dyDescent="0.2">
      <c r="A565" s="68"/>
      <c r="B565" s="68"/>
    </row>
    <row r="566" spans="1:2" x14ac:dyDescent="0.2">
      <c r="A566" s="68"/>
      <c r="B566" s="68"/>
    </row>
    <row r="567" spans="1:2" x14ac:dyDescent="0.2">
      <c r="A567" s="68"/>
      <c r="B567" s="68"/>
    </row>
    <row r="568" spans="1:2" x14ac:dyDescent="0.2">
      <c r="A568" s="68"/>
      <c r="B568" s="68"/>
    </row>
    <row r="569" spans="1:2" x14ac:dyDescent="0.2">
      <c r="A569" s="68"/>
      <c r="B569" s="68"/>
    </row>
    <row r="570" spans="1:2" x14ac:dyDescent="0.2">
      <c r="A570" s="68"/>
      <c r="B570" s="68"/>
    </row>
    <row r="571" spans="1:2" x14ac:dyDescent="0.2">
      <c r="A571" s="68"/>
      <c r="B571" s="68"/>
    </row>
    <row r="572" spans="1:2" x14ac:dyDescent="0.2">
      <c r="A572" s="68"/>
      <c r="B572" s="68"/>
    </row>
    <row r="573" spans="1:2" x14ac:dyDescent="0.2">
      <c r="A573" s="68"/>
      <c r="B573" s="68"/>
    </row>
    <row r="574" spans="1:2" x14ac:dyDescent="0.2">
      <c r="A574" s="68"/>
      <c r="B574" s="68"/>
    </row>
    <row r="575" spans="1:2" x14ac:dyDescent="0.2">
      <c r="A575" s="68"/>
      <c r="B575" s="68"/>
    </row>
    <row r="576" spans="1:2" x14ac:dyDescent="0.2">
      <c r="A576" s="68"/>
      <c r="B576" s="68"/>
    </row>
    <row r="577" spans="1:2" x14ac:dyDescent="0.2">
      <c r="A577" s="68"/>
      <c r="B577" s="68"/>
    </row>
    <row r="578" spans="1:2" x14ac:dyDescent="0.2">
      <c r="A578" s="68"/>
      <c r="B578" s="68"/>
    </row>
    <row r="579" spans="1:2" x14ac:dyDescent="0.2">
      <c r="A579" s="68"/>
      <c r="B579" s="68"/>
    </row>
    <row r="580" spans="1:2" x14ac:dyDescent="0.2">
      <c r="A580" s="68"/>
      <c r="B580" s="68"/>
    </row>
    <row r="581" spans="1:2" x14ac:dyDescent="0.2">
      <c r="A581" s="68"/>
      <c r="B581" s="68"/>
    </row>
    <row r="582" spans="1:2" x14ac:dyDescent="0.2">
      <c r="A582" s="68"/>
      <c r="B582" s="68"/>
    </row>
    <row r="583" spans="1:2" x14ac:dyDescent="0.2">
      <c r="A583" s="68"/>
      <c r="B583" s="68"/>
    </row>
    <row r="584" spans="1:2" x14ac:dyDescent="0.2">
      <c r="A584" s="68"/>
      <c r="B584" s="68"/>
    </row>
    <row r="585" spans="1:2" x14ac:dyDescent="0.2">
      <c r="A585" s="68"/>
      <c r="B585" s="68"/>
    </row>
    <row r="586" spans="1:2" x14ac:dyDescent="0.2">
      <c r="A586" s="68"/>
      <c r="B586" s="68"/>
    </row>
    <row r="587" spans="1:2" x14ac:dyDescent="0.2">
      <c r="A587" s="68"/>
      <c r="B587" s="68"/>
    </row>
    <row r="588" spans="1:2" x14ac:dyDescent="0.2">
      <c r="A588" s="68"/>
      <c r="B588" s="68"/>
    </row>
    <row r="589" spans="1:2" x14ac:dyDescent="0.2">
      <c r="A589" s="68"/>
      <c r="B589" s="68"/>
    </row>
    <row r="590" spans="1:2" x14ac:dyDescent="0.2">
      <c r="A590" s="68"/>
      <c r="B590" s="68"/>
    </row>
    <row r="591" spans="1:2" x14ac:dyDescent="0.2">
      <c r="A591" s="68"/>
      <c r="B591" s="68"/>
    </row>
    <row r="592" spans="1:2" x14ac:dyDescent="0.2">
      <c r="A592" s="68"/>
      <c r="B592" s="68"/>
    </row>
    <row r="593" spans="1:2" x14ac:dyDescent="0.2">
      <c r="A593" s="68"/>
      <c r="B593" s="68"/>
    </row>
    <row r="594" spans="1:2" x14ac:dyDescent="0.2">
      <c r="A594" s="68"/>
      <c r="B594" s="68"/>
    </row>
    <row r="595" spans="1:2" x14ac:dyDescent="0.2">
      <c r="A595" s="68"/>
      <c r="B595" s="68"/>
    </row>
    <row r="596" spans="1:2" x14ac:dyDescent="0.2">
      <c r="A596" s="68"/>
      <c r="B596" s="68"/>
    </row>
    <row r="597" spans="1:2" x14ac:dyDescent="0.2">
      <c r="A597" s="68"/>
      <c r="B597" s="68"/>
    </row>
    <row r="598" spans="1:2" x14ac:dyDescent="0.2">
      <c r="A598" s="68"/>
      <c r="B598" s="68"/>
    </row>
    <row r="599" spans="1:2" x14ac:dyDescent="0.2">
      <c r="A599" s="68"/>
      <c r="B599" s="68"/>
    </row>
    <row r="600" spans="1:2" x14ac:dyDescent="0.2">
      <c r="A600" s="68"/>
      <c r="B600" s="68"/>
    </row>
    <row r="601" spans="1:2" x14ac:dyDescent="0.2">
      <c r="A601" s="68"/>
      <c r="B601" s="68"/>
    </row>
    <row r="602" spans="1:2" x14ac:dyDescent="0.2">
      <c r="A602" s="68"/>
      <c r="B602" s="68"/>
    </row>
    <row r="603" spans="1:2" x14ac:dyDescent="0.2">
      <c r="A603" s="68"/>
      <c r="B603" s="68"/>
    </row>
    <row r="604" spans="1:2" x14ac:dyDescent="0.2">
      <c r="A604" s="68"/>
      <c r="B604" s="68"/>
    </row>
    <row r="605" spans="1:2" x14ac:dyDescent="0.2">
      <c r="A605" s="68"/>
      <c r="B605" s="68"/>
    </row>
    <row r="606" spans="1:2" x14ac:dyDescent="0.2">
      <c r="A606" s="68"/>
      <c r="B606" s="68"/>
    </row>
    <row r="607" spans="1:2" x14ac:dyDescent="0.2">
      <c r="A607" s="68"/>
      <c r="B607" s="68"/>
    </row>
    <row r="608" spans="1:2" x14ac:dyDescent="0.2">
      <c r="A608" s="68"/>
      <c r="B608" s="68"/>
    </row>
    <row r="609" spans="1:2" x14ac:dyDescent="0.2">
      <c r="A609" s="68"/>
      <c r="B609" s="68"/>
    </row>
    <row r="610" spans="1:2" x14ac:dyDescent="0.2">
      <c r="A610" s="68"/>
      <c r="B610" s="68"/>
    </row>
    <row r="611" spans="1:2" x14ac:dyDescent="0.2">
      <c r="A611" s="68"/>
      <c r="B611" s="68"/>
    </row>
    <row r="612" spans="1:2" x14ac:dyDescent="0.2">
      <c r="A612" s="68"/>
      <c r="B612" s="68"/>
    </row>
    <row r="613" spans="1:2" x14ac:dyDescent="0.2">
      <c r="A613" s="68"/>
      <c r="B613" s="68"/>
    </row>
    <row r="614" spans="1:2" x14ac:dyDescent="0.2">
      <c r="A614" s="68"/>
      <c r="B614" s="68"/>
    </row>
    <row r="615" spans="1:2" x14ac:dyDescent="0.2">
      <c r="A615" s="68"/>
      <c r="B615" s="68"/>
    </row>
    <row r="616" spans="1:2" x14ac:dyDescent="0.2">
      <c r="A616" s="68"/>
      <c r="B616" s="68"/>
    </row>
    <row r="617" spans="1:2" x14ac:dyDescent="0.2">
      <c r="A617" s="68"/>
      <c r="B617" s="68"/>
    </row>
    <row r="618" spans="1:2" x14ac:dyDescent="0.2">
      <c r="A618" s="68"/>
      <c r="B618" s="68"/>
    </row>
    <row r="619" spans="1:2" x14ac:dyDescent="0.2">
      <c r="A619" s="68"/>
      <c r="B619" s="68"/>
    </row>
    <row r="620" spans="1:2" x14ac:dyDescent="0.2">
      <c r="A620" s="68"/>
      <c r="B620" s="68"/>
    </row>
    <row r="621" spans="1:2" x14ac:dyDescent="0.2">
      <c r="A621" s="68"/>
      <c r="B621" s="68"/>
    </row>
    <row r="622" spans="1:2" x14ac:dyDescent="0.2">
      <c r="A622" s="68"/>
      <c r="B622" s="68"/>
    </row>
    <row r="623" spans="1:2" x14ac:dyDescent="0.2">
      <c r="A623" s="68"/>
      <c r="B623" s="68"/>
    </row>
    <row r="624" spans="1:2" x14ac:dyDescent="0.2">
      <c r="A624" s="68"/>
      <c r="B624" s="68"/>
    </row>
    <row r="625" spans="1:2" x14ac:dyDescent="0.2">
      <c r="A625" s="68"/>
      <c r="B625" s="68"/>
    </row>
    <row r="626" spans="1:2" x14ac:dyDescent="0.2">
      <c r="A626" s="68"/>
      <c r="B626" s="68"/>
    </row>
    <row r="627" spans="1:2" x14ac:dyDescent="0.2">
      <c r="A627" s="68"/>
      <c r="B627" s="68"/>
    </row>
    <row r="628" spans="1:2" x14ac:dyDescent="0.2">
      <c r="A628" s="68"/>
      <c r="B628" s="68"/>
    </row>
    <row r="629" spans="1:2" x14ac:dyDescent="0.2">
      <c r="A629" s="68"/>
      <c r="B629" s="68"/>
    </row>
    <row r="630" spans="1:2" x14ac:dyDescent="0.2">
      <c r="A630" s="68"/>
      <c r="B630" s="68"/>
    </row>
    <row r="631" spans="1:2" x14ac:dyDescent="0.2">
      <c r="A631" s="68"/>
      <c r="B631" s="68"/>
    </row>
    <row r="632" spans="1:2" x14ac:dyDescent="0.2">
      <c r="A632" s="68"/>
      <c r="B632" s="68"/>
    </row>
    <row r="633" spans="1:2" x14ac:dyDescent="0.2">
      <c r="A633" s="68"/>
      <c r="B633" s="68"/>
    </row>
    <row r="634" spans="1:2" x14ac:dyDescent="0.2">
      <c r="A634" s="68"/>
      <c r="B634" s="68"/>
    </row>
    <row r="635" spans="1:2" x14ac:dyDescent="0.2">
      <c r="A635" s="68"/>
      <c r="B635" s="68"/>
    </row>
    <row r="636" spans="1:2" x14ac:dyDescent="0.2">
      <c r="A636" s="68"/>
      <c r="B636" s="68"/>
    </row>
    <row r="637" spans="1:2" x14ac:dyDescent="0.2">
      <c r="A637" s="68"/>
      <c r="B637" s="68"/>
    </row>
    <row r="638" spans="1:2" x14ac:dyDescent="0.2">
      <c r="A638" s="68"/>
      <c r="B638" s="68"/>
    </row>
    <row r="639" spans="1:2" x14ac:dyDescent="0.2">
      <c r="A639" s="68"/>
      <c r="B639" s="68"/>
    </row>
    <row r="640" spans="1:2" x14ac:dyDescent="0.2">
      <c r="A640" s="68"/>
      <c r="B640" s="68"/>
    </row>
    <row r="641" spans="1:2" x14ac:dyDescent="0.2">
      <c r="A641" s="68"/>
      <c r="B641" s="68"/>
    </row>
    <row r="642" spans="1:2" x14ac:dyDescent="0.2">
      <c r="A642" s="68"/>
      <c r="B642" s="68"/>
    </row>
    <row r="643" spans="1:2" x14ac:dyDescent="0.2">
      <c r="A643" s="68"/>
      <c r="B643" s="68"/>
    </row>
    <row r="644" spans="1:2" x14ac:dyDescent="0.2">
      <c r="A644" s="68"/>
      <c r="B644" s="68"/>
    </row>
    <row r="645" spans="1:2" x14ac:dyDescent="0.2">
      <c r="A645" s="68"/>
      <c r="B645" s="68"/>
    </row>
    <row r="646" spans="1:2" x14ac:dyDescent="0.2">
      <c r="A646" s="68"/>
      <c r="B646" s="68"/>
    </row>
    <row r="647" spans="1:2" x14ac:dyDescent="0.2">
      <c r="A647" s="68"/>
      <c r="B647" s="68"/>
    </row>
    <row r="648" spans="1:2" x14ac:dyDescent="0.2">
      <c r="A648" s="68"/>
      <c r="B648" s="68"/>
    </row>
    <row r="649" spans="1:2" x14ac:dyDescent="0.2">
      <c r="A649" s="68"/>
      <c r="B649" s="68"/>
    </row>
    <row r="650" spans="1:2" x14ac:dyDescent="0.2">
      <c r="A650" s="68"/>
      <c r="B650" s="68"/>
    </row>
    <row r="651" spans="1:2" x14ac:dyDescent="0.2">
      <c r="A651" s="68"/>
      <c r="B651" s="68"/>
    </row>
    <row r="652" spans="1:2" x14ac:dyDescent="0.2">
      <c r="A652" s="68"/>
      <c r="B652" s="68"/>
    </row>
    <row r="653" spans="1:2" x14ac:dyDescent="0.2">
      <c r="A653" s="68"/>
      <c r="B653" s="68"/>
    </row>
    <row r="654" spans="1:2" x14ac:dyDescent="0.2">
      <c r="A654" s="68"/>
      <c r="B654" s="68"/>
    </row>
    <row r="655" spans="1:2" x14ac:dyDescent="0.2">
      <c r="A655" s="68"/>
      <c r="B655" s="68"/>
    </row>
    <row r="656" spans="1:2" x14ac:dyDescent="0.2">
      <c r="A656" s="68"/>
      <c r="B656" s="68"/>
    </row>
    <row r="657" spans="1:2" x14ac:dyDescent="0.2">
      <c r="A657" s="68"/>
      <c r="B657" s="68"/>
    </row>
    <row r="658" spans="1:2" x14ac:dyDescent="0.2">
      <c r="A658" s="68"/>
      <c r="B658" s="68"/>
    </row>
    <row r="659" spans="1:2" x14ac:dyDescent="0.2">
      <c r="A659" s="68"/>
      <c r="B659" s="68"/>
    </row>
    <row r="660" spans="1:2" x14ac:dyDescent="0.2">
      <c r="A660" s="68"/>
      <c r="B660" s="68"/>
    </row>
    <row r="661" spans="1:2" x14ac:dyDescent="0.2">
      <c r="A661" s="68"/>
      <c r="B661" s="68"/>
    </row>
    <row r="662" spans="1:2" x14ac:dyDescent="0.2">
      <c r="A662" s="68"/>
      <c r="B662" s="68"/>
    </row>
    <row r="663" spans="1:2" x14ac:dyDescent="0.2">
      <c r="A663" s="68"/>
      <c r="B663" s="68"/>
    </row>
    <row r="664" spans="1:2" x14ac:dyDescent="0.2">
      <c r="A664" s="68"/>
      <c r="B664" s="68"/>
    </row>
    <row r="665" spans="1:2" x14ac:dyDescent="0.2">
      <c r="A665" s="68"/>
      <c r="B665" s="68"/>
    </row>
    <row r="666" spans="1:2" x14ac:dyDescent="0.2">
      <c r="A666" s="68"/>
      <c r="B666" s="68"/>
    </row>
    <row r="667" spans="1:2" x14ac:dyDescent="0.2">
      <c r="A667" s="68"/>
      <c r="B667" s="68"/>
    </row>
    <row r="668" spans="1:2" x14ac:dyDescent="0.2">
      <c r="A668" s="68"/>
      <c r="B668" s="68"/>
    </row>
    <row r="669" spans="1:2" x14ac:dyDescent="0.2">
      <c r="A669" s="68"/>
      <c r="B669" s="68"/>
    </row>
    <row r="670" spans="1:2" x14ac:dyDescent="0.2">
      <c r="A670" s="68"/>
      <c r="B670" s="68"/>
    </row>
    <row r="671" spans="1:2" x14ac:dyDescent="0.2">
      <c r="A671" s="68"/>
      <c r="B671" s="68"/>
    </row>
    <row r="672" spans="1:2" x14ac:dyDescent="0.2">
      <c r="A672" s="68"/>
      <c r="B672" s="68"/>
    </row>
    <row r="673" spans="1:2" x14ac:dyDescent="0.2">
      <c r="A673" s="68"/>
      <c r="B673" s="68"/>
    </row>
    <row r="674" spans="1:2" x14ac:dyDescent="0.2">
      <c r="A674" s="68"/>
      <c r="B674" s="68"/>
    </row>
    <row r="675" spans="1:2" x14ac:dyDescent="0.2">
      <c r="A675" s="68"/>
      <c r="B675" s="68"/>
    </row>
    <row r="676" spans="1:2" x14ac:dyDescent="0.2">
      <c r="A676" s="68"/>
      <c r="B676" s="68"/>
    </row>
    <row r="677" spans="1:2" x14ac:dyDescent="0.2">
      <c r="A677" s="68"/>
      <c r="B677" s="68"/>
    </row>
    <row r="678" spans="1:2" x14ac:dyDescent="0.2">
      <c r="A678" s="68"/>
      <c r="B678" s="68"/>
    </row>
    <row r="679" spans="1:2" x14ac:dyDescent="0.2">
      <c r="A679" s="68"/>
      <c r="B679" s="68"/>
    </row>
    <row r="680" spans="1:2" x14ac:dyDescent="0.2">
      <c r="A680" s="68"/>
      <c r="B680" s="68"/>
    </row>
    <row r="681" spans="1:2" x14ac:dyDescent="0.2">
      <c r="A681" s="68"/>
      <c r="B681" s="68"/>
    </row>
    <row r="682" spans="1:2" x14ac:dyDescent="0.2">
      <c r="A682" s="68"/>
      <c r="B682" s="68"/>
    </row>
    <row r="683" spans="1:2" x14ac:dyDescent="0.2">
      <c r="A683" s="68"/>
      <c r="B683" s="68"/>
    </row>
    <row r="684" spans="1:2" x14ac:dyDescent="0.2">
      <c r="A684" s="68"/>
      <c r="B684" s="68"/>
    </row>
    <row r="685" spans="1:2" x14ac:dyDescent="0.2">
      <c r="A685" s="68"/>
      <c r="B685" s="68"/>
    </row>
    <row r="686" spans="1:2" x14ac:dyDescent="0.2">
      <c r="A686" s="68"/>
      <c r="B686" s="68"/>
    </row>
    <row r="687" spans="1:2" x14ac:dyDescent="0.2">
      <c r="A687" s="68"/>
      <c r="B687" s="68"/>
    </row>
    <row r="688" spans="1:2" x14ac:dyDescent="0.2">
      <c r="A688" s="68"/>
      <c r="B688" s="68"/>
    </row>
    <row r="689" spans="1:2" x14ac:dyDescent="0.2">
      <c r="A689" s="68"/>
      <c r="B689" s="68"/>
    </row>
    <row r="690" spans="1:2" x14ac:dyDescent="0.2">
      <c r="A690" s="68"/>
      <c r="B690" s="68"/>
    </row>
    <row r="691" spans="1:2" x14ac:dyDescent="0.2">
      <c r="A691" s="68"/>
      <c r="B691" s="68"/>
    </row>
    <row r="692" spans="1:2" x14ac:dyDescent="0.2">
      <c r="A692" s="68"/>
      <c r="B692" s="68"/>
    </row>
    <row r="693" spans="1:2" x14ac:dyDescent="0.2">
      <c r="A693" s="68"/>
      <c r="B693" s="68"/>
    </row>
    <row r="694" spans="1:2" x14ac:dyDescent="0.2">
      <c r="A694" s="68"/>
      <c r="B694" s="68"/>
    </row>
    <row r="695" spans="1:2" x14ac:dyDescent="0.2">
      <c r="A695" s="68"/>
      <c r="B695" s="68"/>
    </row>
    <row r="696" spans="1:2" x14ac:dyDescent="0.2">
      <c r="A696" s="68"/>
      <c r="B696" s="68"/>
    </row>
    <row r="697" spans="1:2" x14ac:dyDescent="0.2">
      <c r="A697" s="68"/>
      <c r="B697" s="68"/>
    </row>
    <row r="698" spans="1:2" x14ac:dyDescent="0.2">
      <c r="A698" s="68"/>
      <c r="B698" s="68"/>
    </row>
    <row r="699" spans="1:2" x14ac:dyDescent="0.2">
      <c r="A699" s="68"/>
      <c r="B699" s="68"/>
    </row>
    <row r="700" spans="1:2" x14ac:dyDescent="0.2">
      <c r="A700" s="68"/>
      <c r="B700" s="68"/>
    </row>
    <row r="701" spans="1:2" x14ac:dyDescent="0.2">
      <c r="A701" s="68"/>
      <c r="B701" s="68"/>
    </row>
    <row r="702" spans="1:2" x14ac:dyDescent="0.2">
      <c r="A702" s="68"/>
      <c r="B702" s="68"/>
    </row>
    <row r="703" spans="1:2" x14ac:dyDescent="0.2">
      <c r="A703" s="68"/>
      <c r="B703" s="68"/>
    </row>
    <row r="704" spans="1:2" x14ac:dyDescent="0.2">
      <c r="A704" s="68"/>
      <c r="B704" s="68"/>
    </row>
    <row r="705" spans="1:2" x14ac:dyDescent="0.2">
      <c r="A705" s="68"/>
      <c r="B705" s="68"/>
    </row>
    <row r="706" spans="1:2" x14ac:dyDescent="0.2">
      <c r="A706" s="68"/>
      <c r="B706" s="68"/>
    </row>
    <row r="707" spans="1:2" x14ac:dyDescent="0.2">
      <c r="A707" s="68"/>
      <c r="B707" s="68"/>
    </row>
    <row r="708" spans="1:2" x14ac:dyDescent="0.2">
      <c r="A708" s="68"/>
      <c r="B708" s="68"/>
    </row>
    <row r="709" spans="1:2" x14ac:dyDescent="0.2">
      <c r="A709" s="68"/>
      <c r="B709" s="68"/>
    </row>
    <row r="710" spans="1:2" x14ac:dyDescent="0.2">
      <c r="A710" s="68"/>
      <c r="B710" s="68"/>
    </row>
    <row r="711" spans="1:2" x14ac:dyDescent="0.2">
      <c r="A711" s="68"/>
      <c r="B711" s="68"/>
    </row>
    <row r="712" spans="1:2" x14ac:dyDescent="0.2">
      <c r="A712" s="68"/>
      <c r="B712" s="68"/>
    </row>
    <row r="713" spans="1:2" x14ac:dyDescent="0.2">
      <c r="A713" s="68"/>
      <c r="B713" s="68"/>
    </row>
    <row r="714" spans="1:2" x14ac:dyDescent="0.2">
      <c r="A714" s="68"/>
      <c r="B714" s="68"/>
    </row>
    <row r="715" spans="1:2" x14ac:dyDescent="0.2">
      <c r="A715" s="68"/>
      <c r="B715" s="68"/>
    </row>
    <row r="716" spans="1:2" x14ac:dyDescent="0.2">
      <c r="A716" s="68"/>
      <c r="B716" s="68"/>
    </row>
    <row r="717" spans="1:2" x14ac:dyDescent="0.2">
      <c r="A717" s="68"/>
      <c r="B717" s="68"/>
    </row>
    <row r="718" spans="1:2" x14ac:dyDescent="0.2">
      <c r="A718" s="68"/>
      <c r="B718" s="68"/>
    </row>
    <row r="719" spans="1:2" x14ac:dyDescent="0.2">
      <c r="A719" s="68"/>
      <c r="B719" s="68"/>
    </row>
    <row r="720" spans="1:2" x14ac:dyDescent="0.2">
      <c r="A720" s="68"/>
      <c r="B720" s="68"/>
    </row>
    <row r="721" spans="1:2" x14ac:dyDescent="0.2">
      <c r="A721" s="68"/>
      <c r="B721" s="68"/>
    </row>
    <row r="722" spans="1:2" x14ac:dyDescent="0.2">
      <c r="A722" s="68"/>
      <c r="B722" s="68"/>
    </row>
    <row r="723" spans="1:2" x14ac:dyDescent="0.2">
      <c r="A723" s="68"/>
      <c r="B723" s="68"/>
    </row>
    <row r="724" spans="1:2" x14ac:dyDescent="0.2">
      <c r="A724" s="68"/>
      <c r="B724" s="68"/>
    </row>
    <row r="725" spans="1:2" x14ac:dyDescent="0.2">
      <c r="A725" s="68"/>
      <c r="B725" s="68"/>
    </row>
    <row r="726" spans="1:2" x14ac:dyDescent="0.2">
      <c r="A726" s="68"/>
      <c r="B726" s="68"/>
    </row>
    <row r="727" spans="1:2" x14ac:dyDescent="0.2">
      <c r="A727" s="68"/>
      <c r="B727" s="68"/>
    </row>
    <row r="728" spans="1:2" x14ac:dyDescent="0.2">
      <c r="A728" s="68"/>
      <c r="B728" s="68"/>
    </row>
    <row r="729" spans="1:2" x14ac:dyDescent="0.2">
      <c r="A729" s="68"/>
      <c r="B729" s="68"/>
    </row>
    <row r="730" spans="1:2" x14ac:dyDescent="0.2">
      <c r="A730" s="68"/>
      <c r="B730" s="68"/>
    </row>
    <row r="731" spans="1:2" x14ac:dyDescent="0.2">
      <c r="A731" s="68"/>
      <c r="B731" s="68"/>
    </row>
    <row r="732" spans="1:2" x14ac:dyDescent="0.2">
      <c r="A732" s="68"/>
      <c r="B732" s="68"/>
    </row>
    <row r="733" spans="1:2" x14ac:dyDescent="0.2">
      <c r="A733" s="68"/>
      <c r="B733" s="68"/>
    </row>
    <row r="734" spans="1:2" x14ac:dyDescent="0.2">
      <c r="A734" s="68"/>
      <c r="B734" s="68"/>
    </row>
    <row r="735" spans="1:2" x14ac:dyDescent="0.2">
      <c r="A735" s="68"/>
      <c r="B735" s="68"/>
    </row>
    <row r="736" spans="1:2" x14ac:dyDescent="0.2">
      <c r="A736" s="68"/>
      <c r="B736" s="68"/>
    </row>
    <row r="737" spans="1:2" x14ac:dyDescent="0.2">
      <c r="A737" s="68"/>
      <c r="B737" s="68"/>
    </row>
    <row r="738" spans="1:2" x14ac:dyDescent="0.2">
      <c r="A738" s="68"/>
      <c r="B738" s="68"/>
    </row>
    <row r="739" spans="1:2" x14ac:dyDescent="0.2">
      <c r="A739" s="68"/>
      <c r="B739" s="68"/>
    </row>
    <row r="740" spans="1:2" x14ac:dyDescent="0.2">
      <c r="A740" s="68"/>
      <c r="B740" s="68"/>
    </row>
    <row r="741" spans="1:2" x14ac:dyDescent="0.2">
      <c r="A741" s="68"/>
      <c r="B741" s="68"/>
    </row>
    <row r="742" spans="1:2" x14ac:dyDescent="0.2">
      <c r="A742" s="68"/>
      <c r="B742" s="68"/>
    </row>
    <row r="743" spans="1:2" x14ac:dyDescent="0.2">
      <c r="A743" s="68"/>
      <c r="B743" s="68"/>
    </row>
    <row r="744" spans="1:2" x14ac:dyDescent="0.2">
      <c r="A744" s="68"/>
      <c r="B744" s="68"/>
    </row>
    <row r="745" spans="1:2" x14ac:dyDescent="0.2">
      <c r="A745" s="68"/>
      <c r="B745" s="68"/>
    </row>
    <row r="746" spans="1:2" x14ac:dyDescent="0.2">
      <c r="A746" s="68"/>
      <c r="B746" s="68"/>
    </row>
    <row r="747" spans="1:2" x14ac:dyDescent="0.2">
      <c r="A747" s="68"/>
      <c r="B747" s="68"/>
    </row>
    <row r="748" spans="1:2" x14ac:dyDescent="0.2">
      <c r="A748" s="68"/>
      <c r="B748" s="68"/>
    </row>
    <row r="749" spans="1:2" x14ac:dyDescent="0.2">
      <c r="A749" s="68"/>
      <c r="B749" s="68"/>
    </row>
    <row r="750" spans="1:2" x14ac:dyDescent="0.2">
      <c r="A750" s="68"/>
      <c r="B750" s="68"/>
    </row>
    <row r="751" spans="1:2" x14ac:dyDescent="0.2">
      <c r="A751" s="68"/>
      <c r="B751" s="68"/>
    </row>
    <row r="752" spans="1:2" x14ac:dyDescent="0.2">
      <c r="A752" s="68"/>
      <c r="B752" s="68"/>
    </row>
    <row r="753" spans="1:2" x14ac:dyDescent="0.2">
      <c r="A753" s="68"/>
      <c r="B753" s="68"/>
    </row>
    <row r="754" spans="1:2" x14ac:dyDescent="0.2">
      <c r="A754" s="68"/>
      <c r="B754" s="68"/>
    </row>
    <row r="755" spans="1:2" x14ac:dyDescent="0.2">
      <c r="A755" s="68"/>
      <c r="B755" s="68"/>
    </row>
    <row r="756" spans="1:2" x14ac:dyDescent="0.2">
      <c r="A756" s="68"/>
      <c r="B756" s="68"/>
    </row>
    <row r="757" spans="1:2" x14ac:dyDescent="0.2">
      <c r="A757" s="68"/>
      <c r="B757" s="68"/>
    </row>
    <row r="758" spans="1:2" x14ac:dyDescent="0.2">
      <c r="A758" s="68"/>
      <c r="B758" s="68"/>
    </row>
    <row r="759" spans="1:2" x14ac:dyDescent="0.2">
      <c r="A759" s="68"/>
      <c r="B759" s="68"/>
    </row>
    <row r="760" spans="1:2" x14ac:dyDescent="0.2">
      <c r="A760" s="68"/>
      <c r="B760" s="68"/>
    </row>
    <row r="761" spans="1:2" x14ac:dyDescent="0.2">
      <c r="A761" s="68"/>
      <c r="B761" s="68"/>
    </row>
    <row r="762" spans="1:2" x14ac:dyDescent="0.2">
      <c r="A762" s="68"/>
      <c r="B762" s="68"/>
    </row>
    <row r="763" spans="1:2" x14ac:dyDescent="0.2">
      <c r="A763" s="68"/>
      <c r="B763" s="68"/>
    </row>
    <row r="764" spans="1:2" x14ac:dyDescent="0.2">
      <c r="A764" s="68"/>
      <c r="B764" s="68"/>
    </row>
    <row r="765" spans="1:2" x14ac:dyDescent="0.2">
      <c r="A765" s="68"/>
      <c r="B765" s="68"/>
    </row>
    <row r="766" spans="1:2" x14ac:dyDescent="0.2">
      <c r="A766" s="68"/>
      <c r="B766" s="68"/>
    </row>
    <row r="767" spans="1:2" x14ac:dyDescent="0.2">
      <c r="A767" s="68"/>
      <c r="B767" s="68"/>
    </row>
    <row r="768" spans="1:2" x14ac:dyDescent="0.2">
      <c r="A768" s="68"/>
      <c r="B768" s="68"/>
    </row>
    <row r="769" spans="1:2" x14ac:dyDescent="0.2">
      <c r="A769" s="68"/>
      <c r="B769" s="68"/>
    </row>
    <row r="770" spans="1:2" x14ac:dyDescent="0.2">
      <c r="A770" s="68"/>
      <c r="B770" s="68"/>
    </row>
    <row r="771" spans="1:2" x14ac:dyDescent="0.2">
      <c r="A771" s="68"/>
      <c r="B771" s="68"/>
    </row>
    <row r="772" spans="1:2" x14ac:dyDescent="0.2">
      <c r="A772" s="68"/>
      <c r="B772" s="68"/>
    </row>
    <row r="773" spans="1:2" x14ac:dyDescent="0.2">
      <c r="A773" s="68"/>
      <c r="B773" s="68"/>
    </row>
    <row r="774" spans="1:2" x14ac:dyDescent="0.2">
      <c r="A774" s="68"/>
      <c r="B774" s="68"/>
    </row>
    <row r="775" spans="1:2" x14ac:dyDescent="0.2">
      <c r="A775" s="68"/>
      <c r="B775" s="68"/>
    </row>
    <row r="776" spans="1:2" x14ac:dyDescent="0.2">
      <c r="A776" s="68"/>
      <c r="B776" s="68"/>
    </row>
    <row r="777" spans="1:2" x14ac:dyDescent="0.2">
      <c r="A777" s="68"/>
      <c r="B777" s="68"/>
    </row>
    <row r="778" spans="1:2" x14ac:dyDescent="0.2">
      <c r="A778" s="68"/>
      <c r="B778" s="68"/>
    </row>
    <row r="779" spans="1:2" x14ac:dyDescent="0.2">
      <c r="A779" s="68"/>
      <c r="B779" s="68"/>
    </row>
    <row r="780" spans="1:2" x14ac:dyDescent="0.2">
      <c r="A780" s="68"/>
      <c r="B780" s="68"/>
    </row>
    <row r="781" spans="1:2" x14ac:dyDescent="0.2">
      <c r="A781" s="68"/>
      <c r="B781" s="68"/>
    </row>
    <row r="782" spans="1:2" x14ac:dyDescent="0.2">
      <c r="A782" s="68"/>
      <c r="B782" s="68"/>
    </row>
    <row r="783" spans="1:2" x14ac:dyDescent="0.2">
      <c r="A783" s="68"/>
      <c r="B783" s="68"/>
    </row>
    <row r="784" spans="1:2" x14ac:dyDescent="0.2">
      <c r="A784" s="68"/>
      <c r="B784" s="68"/>
    </row>
    <row r="785" spans="1:2" x14ac:dyDescent="0.2">
      <c r="A785" s="68"/>
      <c r="B785" s="68"/>
    </row>
    <row r="786" spans="1:2" x14ac:dyDescent="0.2">
      <c r="A786" s="68"/>
      <c r="B786" s="68"/>
    </row>
    <row r="787" spans="1:2" x14ac:dyDescent="0.2">
      <c r="A787" s="68"/>
      <c r="B787" s="68"/>
    </row>
    <row r="788" spans="1:2" x14ac:dyDescent="0.2">
      <c r="A788" s="68"/>
      <c r="B788" s="68"/>
    </row>
    <row r="789" spans="1:2" x14ac:dyDescent="0.2">
      <c r="A789" s="68"/>
      <c r="B789" s="68"/>
    </row>
    <row r="790" spans="1:2" x14ac:dyDescent="0.2">
      <c r="A790" s="68"/>
      <c r="B790" s="68"/>
    </row>
    <row r="791" spans="1:2" x14ac:dyDescent="0.2">
      <c r="A791" s="68"/>
      <c r="B791" s="68"/>
    </row>
    <row r="792" spans="1:2" x14ac:dyDescent="0.2">
      <c r="A792" s="68"/>
      <c r="B792" s="68"/>
    </row>
    <row r="793" spans="1:2" x14ac:dyDescent="0.2">
      <c r="A793" s="68"/>
      <c r="B793" s="68"/>
    </row>
    <row r="794" spans="1:2" x14ac:dyDescent="0.2">
      <c r="A794" s="68"/>
      <c r="B794" s="68"/>
    </row>
    <row r="795" spans="1:2" x14ac:dyDescent="0.2">
      <c r="A795" s="68"/>
      <c r="B795" s="68"/>
    </row>
    <row r="796" spans="1:2" x14ac:dyDescent="0.2">
      <c r="A796" s="68"/>
      <c r="B796" s="68"/>
    </row>
    <row r="797" spans="1:2" x14ac:dyDescent="0.2">
      <c r="A797" s="68"/>
      <c r="B797" s="68"/>
    </row>
    <row r="798" spans="1:2" x14ac:dyDescent="0.2">
      <c r="A798" s="68"/>
      <c r="B798" s="68"/>
    </row>
    <row r="799" spans="1:2" x14ac:dyDescent="0.2">
      <c r="A799" s="68"/>
      <c r="B799" s="68"/>
    </row>
    <row r="800" spans="1:2" x14ac:dyDescent="0.2">
      <c r="A800" s="68"/>
      <c r="B800" s="68"/>
    </row>
    <row r="801" spans="1:2" x14ac:dyDescent="0.2">
      <c r="A801" s="68"/>
      <c r="B801" s="68"/>
    </row>
    <row r="802" spans="1:2" x14ac:dyDescent="0.2">
      <c r="A802" s="68"/>
      <c r="B802" s="68"/>
    </row>
    <row r="803" spans="1:2" x14ac:dyDescent="0.2">
      <c r="A803" s="68"/>
      <c r="B803" s="68"/>
    </row>
    <row r="804" spans="1:2" x14ac:dyDescent="0.2">
      <c r="A804" s="68"/>
      <c r="B804" s="68"/>
    </row>
    <row r="805" spans="1:2" x14ac:dyDescent="0.2">
      <c r="A805" s="68"/>
      <c r="B805" s="68"/>
    </row>
    <row r="806" spans="1:2" x14ac:dyDescent="0.2">
      <c r="A806" s="68"/>
      <c r="B806" s="68"/>
    </row>
    <row r="807" spans="1:2" x14ac:dyDescent="0.2">
      <c r="A807" s="68"/>
      <c r="B807" s="68"/>
    </row>
    <row r="808" spans="1:2" x14ac:dyDescent="0.2">
      <c r="A808" s="68"/>
      <c r="B808" s="68"/>
    </row>
    <row r="809" spans="1:2" x14ac:dyDescent="0.2">
      <c r="A809" s="68"/>
      <c r="B809" s="68"/>
    </row>
    <row r="810" spans="1:2" x14ac:dyDescent="0.2">
      <c r="A810" s="68"/>
      <c r="B810" s="68"/>
    </row>
    <row r="811" spans="1:2" x14ac:dyDescent="0.2">
      <c r="A811" s="68"/>
      <c r="B811" s="68"/>
    </row>
    <row r="812" spans="1:2" x14ac:dyDescent="0.2">
      <c r="A812" s="68"/>
      <c r="B812" s="68"/>
    </row>
    <row r="813" spans="1:2" x14ac:dyDescent="0.2">
      <c r="A813" s="68"/>
      <c r="B813" s="68"/>
    </row>
    <row r="814" spans="1:2" x14ac:dyDescent="0.2">
      <c r="A814" s="68"/>
      <c r="B814" s="68"/>
    </row>
    <row r="815" spans="1:2" x14ac:dyDescent="0.2">
      <c r="A815" s="68"/>
      <c r="B815" s="68"/>
    </row>
    <row r="816" spans="1:2" x14ac:dyDescent="0.2">
      <c r="A816" s="68"/>
      <c r="B816" s="68"/>
    </row>
    <row r="817" spans="1:2" x14ac:dyDescent="0.2">
      <c r="A817" s="68"/>
      <c r="B817" s="68"/>
    </row>
    <row r="818" spans="1:2" x14ac:dyDescent="0.2">
      <c r="A818" s="68"/>
      <c r="B818" s="68"/>
    </row>
    <row r="819" spans="1:2" x14ac:dyDescent="0.2">
      <c r="A819" s="68"/>
      <c r="B819" s="68"/>
    </row>
    <row r="820" spans="1:2" x14ac:dyDescent="0.2">
      <c r="A820" s="68"/>
      <c r="B820" s="68"/>
    </row>
    <row r="821" spans="1:2" x14ac:dyDescent="0.2">
      <c r="A821" s="68"/>
      <c r="B821" s="68"/>
    </row>
    <row r="822" spans="1:2" x14ac:dyDescent="0.2">
      <c r="A822" s="68"/>
      <c r="B822" s="68"/>
    </row>
    <row r="823" spans="1:2" x14ac:dyDescent="0.2">
      <c r="A823" s="68"/>
      <c r="B823" s="68"/>
    </row>
    <row r="824" spans="1:2" x14ac:dyDescent="0.2">
      <c r="A824" s="68"/>
      <c r="B824" s="68"/>
    </row>
    <row r="825" spans="1:2" x14ac:dyDescent="0.2">
      <c r="A825" s="68"/>
      <c r="B825" s="68"/>
    </row>
    <row r="826" spans="1:2" x14ac:dyDescent="0.2">
      <c r="A826" s="68"/>
      <c r="B826" s="68"/>
    </row>
    <row r="827" spans="1:2" x14ac:dyDescent="0.2">
      <c r="A827" s="68"/>
      <c r="B827" s="68"/>
    </row>
    <row r="828" spans="1:2" x14ac:dyDescent="0.2">
      <c r="A828" s="68"/>
      <c r="B828" s="68"/>
    </row>
    <row r="829" spans="1:2" x14ac:dyDescent="0.2">
      <c r="A829" s="68"/>
      <c r="B829" s="68"/>
    </row>
    <row r="830" spans="1:2" x14ac:dyDescent="0.2">
      <c r="A830" s="68"/>
      <c r="B830" s="68"/>
    </row>
    <row r="831" spans="1:2" x14ac:dyDescent="0.2">
      <c r="A831" s="68"/>
      <c r="B831" s="68"/>
    </row>
  </sheetData>
  <autoFilter ref="A2:J183" xr:uid="{00000000-0009-0000-0000-000004000000}"/>
  <mergeCells count="1">
    <mergeCell ref="A1:J1"/>
  </mergeCells>
  <conditionalFormatting sqref="G247:G65538">
    <cfRule type="cellIs" dxfId="3" priority="2" operator="equal">
      <formula>"r"</formula>
    </cfRule>
    <cfRule type="cellIs" dxfId="2" priority="3" operator="equal">
      <formula>"k"</formula>
    </cfRule>
    <cfRule type="cellIs" dxfId="1" priority="4" operator="equal">
      <formula>"t"</formula>
    </cfRule>
  </conditionalFormatting>
  <conditionalFormatting sqref="I3:I246">
    <cfRule type="cellIs" dxfId="0" priority="5" operator="equal">
      <formula>"open"</formula>
    </cfRule>
  </conditionalFormatting>
  <dataValidations count="5">
    <dataValidation type="list" allowBlank="1" showInputMessage="1" showErrorMessage="1" sqref="I3:I246" xr:uid="{00000000-0002-0000-0400-000000000000}">
      <formula1>"Open,Solved,Rejected,Postponed,Duplicate"</formula1>
      <formula2>0</formula2>
    </dataValidation>
    <dataValidation type="list" allowBlank="1" showInputMessage="1" sqref="B3:B246" xr:uid="{00000000-0002-0000-0400-000001000000}">
      <formula1>Document_abbreviations</formula1>
      <formula2>0</formula2>
    </dataValidation>
    <dataValidation type="list" allowBlank="1" showInputMessage="1" sqref="F3:F152" xr:uid="{00000000-0002-0000-0400-000002000000}">
      <formula1>Reviewer_abbreviations</formula1>
      <formula2>0</formula2>
    </dataValidation>
    <dataValidation type="list" allowBlank="1" showInputMessage="1" showErrorMessage="1" sqref="G3:G152" xr:uid="{00000000-0002-0000-0400-000003000000}">
      <formula1>"Major,minor,?,note,-"</formula1>
      <formula2>0</formula2>
    </dataValidation>
    <dataValidation type="list" allowBlank="1" showInputMessage="1" sqref="J3:J246" xr:uid="{00000000-0002-0000-0400-000004000000}">
      <formula1>"Meeting,Follow-Up,&lt;name&gt;,&lt;date&gt;,t.b. discussed,t.b. re-discussed,new,changed,&lt;Prio 1&gt;,&lt;free text&gt;"</formula1>
      <formula2>0</formula2>
    </dataValidation>
  </dataValidations>
  <pageMargins left="0.59027777777777801" right="0.196527777777778" top="0.70833333333333304" bottom="0.51180555555555596" header="0.27569444444444402" footer="0.23611111111111099"/>
  <pageSetup paperSize="9" fitToHeight="0" orientation="landscape" horizontalDpi="300" verticalDpi="300"/>
  <headerFooter>
    <oddHeader>&amp;R date printed: &amp;D</oddHeader>
    <oddFooter>&amp;L&amp;F&amp;R&amp;P of &amp;N</oddFooter>
  </headerFooter>
  <drawing r:id="rId1"/>
  <legacy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Arbeitsblätter</vt:lpstr>
      </vt:variant>
      <vt:variant>
        <vt:i4>5</vt:i4>
      </vt:variant>
      <vt:variant>
        <vt:lpstr>Benannte Bereiche</vt:lpstr>
      </vt:variant>
      <vt:variant>
        <vt:i4>8</vt:i4>
      </vt:variant>
    </vt:vector>
  </HeadingPairs>
  <TitlesOfParts>
    <vt:vector size="13" baseType="lpstr">
      <vt:lpstr>README</vt:lpstr>
      <vt:lpstr>MP</vt:lpstr>
      <vt:lpstr>LoF</vt:lpstr>
      <vt:lpstr>RR</vt:lpstr>
      <vt:lpstr>Maintenance</vt:lpstr>
      <vt:lpstr>Document_abbreviations</vt:lpstr>
      <vt:lpstr>MP!Druckbereich</vt:lpstr>
      <vt:lpstr>README!Druckbereich</vt:lpstr>
      <vt:lpstr>RR!Druckbereich</vt:lpstr>
      <vt:lpstr>Optimum_Checking_Time</vt:lpstr>
      <vt:lpstr>Reviewer_abbreviations</vt:lpstr>
      <vt:lpstr>Size_of_Review_Object</vt:lpstr>
      <vt:lpstr>Size_Unit</vt:lpstr>
    </vt:vector>
  </TitlesOfParts>
  <Company>ReviewConsult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Review / Inspection Template</dc:title>
  <dc:subject/>
  <dc:creator>Peter Rösler;Maud Schlich;Ralf Kneuper</dc:creator>
  <dc:description>Last change: see Template History of Change in sheet README_x005f_x000d_
Check www.reviewconsult.de for newer versions of this template</dc:description>
  <cp:lastModifiedBy>hashi hab</cp:lastModifiedBy>
  <cp:revision>2</cp:revision>
  <cp:lastPrinted>2012-10-12T19:04:15Z</cp:lastPrinted>
  <dcterms:created xsi:type="dcterms:W3CDTF">2002-02-06T16:25:58Z</dcterms:created>
  <dcterms:modified xsi:type="dcterms:W3CDTF">2025-11-26T00:00:08Z</dcterms:modified>
  <dc:language>de-DE</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0x0101001E46460225A674469CAD791F2F279C88</vt:lpwstr>
  </property>
  <property fmtid="{D5CDD505-2E9C-101B-9397-08002B2CF9AE}" pid="3" name="TemplateUrl">
    <vt:lpwstr/>
  </property>
  <property fmtid="{D5CDD505-2E9C-101B-9397-08002B2CF9AE}" pid="4" name="xd_ProgID">
    <vt:lpwstr/>
  </property>
</Properties>
</file>